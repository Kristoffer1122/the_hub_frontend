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/>
  <mc:AlternateContent xmlns:mc="http://schemas.openxmlformats.org/markup-compatibility/2006">
    <mc:Choice Requires="x15">
      <x15ac:absPath xmlns:x15ac="http://schemas.microsoft.com/office/spreadsheetml/2010/11/ac" url="https://udeoslokommuneno.sharepoint.com/sites/2IT2025-2026/Delte dokumenter/General/"/>
    </mc:Choice>
  </mc:AlternateContent>
  <xr:revisionPtr revIDLastSave="1538" documentId="8_{C758E354-49BC-B140-AA97-AA032D3B2B55}" xr6:coauthVersionLast="47" xr6:coauthVersionMax="47" xr10:uidLastSave="{26D4235A-A0C8-1641-BAC1-3B09D03400D3}"/>
  <bookViews>
    <workbookView xWindow="0" yWindow="660" windowWidth="30240" windowHeight="18980" xr2:uid="{00000000-000D-0000-FFFF-FFFF00000000}"/>
  </bookViews>
  <sheets>
    <sheet name="ÅRSPLAN" sheetId="1" r:id="rId1"/>
    <sheet name="Kontaktlærergrupper" sheetId="6" r:id="rId2"/>
    <sheet name="Kurs-grupper" sheetId="4" r:id="rId3"/>
    <sheet name="Roadmaps" sheetId="2" state="hidden" r:id="rId4"/>
    <sheet name="Prosjektideer" sheetId="5" r:id="rId5"/>
    <sheet name="Vurderingssamtaler høst" sheetId="8" r:id="rId6"/>
    <sheet name="Økonomi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8" l="1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</calcChain>
</file>

<file path=xl/sharedStrings.xml><?xml version="1.0" encoding="utf-8"?>
<sst xmlns="http://schemas.openxmlformats.org/spreadsheetml/2006/main" count="831" uniqueCount="279">
  <si>
    <t>PERIODE</t>
  </si>
  <si>
    <t>UKE</t>
  </si>
  <si>
    <t>Datoer</t>
  </si>
  <si>
    <t>Generelt</t>
  </si>
  <si>
    <t>Tilbakemelding og vurdering</t>
  </si>
  <si>
    <t>HVA SKJER</t>
  </si>
  <si>
    <t>Madeleine</t>
  </si>
  <si>
    <t>Sondre</t>
  </si>
  <si>
    <t>Mathias</t>
  </si>
  <si>
    <t>Kristoffer</t>
  </si>
  <si>
    <t>BASIS</t>
  </si>
  <si>
    <t>YFF</t>
  </si>
  <si>
    <r>
      <t xml:space="preserve">GLHF
</t>
    </r>
    <r>
      <rPr>
        <sz val="9"/>
        <color rgb="FF000000"/>
        <rFont val="Aptos Narrow"/>
      </rPr>
      <t>Good luck, have fun</t>
    </r>
  </si>
  <si>
    <t>-</t>
  </si>
  <si>
    <t>Første skoledag man 18.08
Oppstart + Elvebåtrace</t>
  </si>
  <si>
    <t>Oppstart + elvebåt
Tilbakemelding og vurderings kurs
Fag og kjerneelementer</t>
  </si>
  <si>
    <t>2IMIT/2IMST - Fagvalg</t>
  </si>
  <si>
    <t>Bli kjent</t>
  </si>
  <si>
    <t>Valguka</t>
  </si>
  <si>
    <t>Valguke</t>
  </si>
  <si>
    <t>Rombooking</t>
  </si>
  <si>
    <t>Bedriftsbesøk Intility fredag kl. 12-13</t>
  </si>
  <si>
    <t>Ukentlig kommentar i logg fra en av lærerne</t>
  </si>
  <si>
    <t>Grunnleggende kurs + litt prosjekttid</t>
  </si>
  <si>
    <r>
      <t xml:space="preserve">Javascript 1 </t>
    </r>
    <r>
      <rPr>
        <sz val="12"/>
        <color theme="5" tint="-0.249977111117893"/>
        <rFont val="Aptos Narrow"/>
      </rPr>
      <t>-</t>
    </r>
    <r>
      <rPr>
        <b/>
        <sz val="12"/>
        <color theme="5" tint="-0.249977111117893"/>
        <rFont val="Aptos Narrow"/>
      </rPr>
      <t xml:space="preserve"> Team Madde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Mandag + Fredag</t>
    </r>
  </si>
  <si>
    <r>
      <t xml:space="preserve">Python 1 </t>
    </r>
    <r>
      <rPr>
        <b/>
        <sz val="12"/>
        <color theme="9" tint="-0.249977111117893"/>
        <rFont val="Aptos Narrow"/>
      </rPr>
      <t xml:space="preserve">- Team Sondre
</t>
    </r>
    <r>
      <rPr>
        <sz val="8"/>
        <color theme="1"/>
        <rFont val="Aptos Narrow"/>
      </rPr>
      <t>Mandag + tirsdag</t>
    </r>
  </si>
  <si>
    <r>
      <t xml:space="preserve">Datasikkerhet 1 </t>
    </r>
    <r>
      <rPr>
        <b/>
        <sz val="12"/>
        <color theme="9" tint="-0.249977111117893"/>
        <rFont val="Aptos Narrow"/>
      </rPr>
      <t>- Team Sondre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Fredag</t>
    </r>
  </si>
  <si>
    <r>
      <t xml:space="preserve">Infrastruktur 1 </t>
    </r>
    <r>
      <rPr>
        <b/>
        <sz val="12"/>
        <color theme="5" tint="-0.249977111117893"/>
        <rFont val="Aptos Narrow"/>
      </rPr>
      <t>- Team Madde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Tirsdag</t>
    </r>
  </si>
  <si>
    <t>Fri - Stortingsvalg man 8.09</t>
  </si>
  <si>
    <t>Grunnleggende kurs, prosjekttid utgår pga. fridagen på mandag</t>
  </si>
  <si>
    <r>
      <t xml:space="preserve">Javascript 1 - </t>
    </r>
    <r>
      <rPr>
        <b/>
        <sz val="12"/>
        <color theme="9" tint="-0.249977111117893"/>
        <rFont val="Aptos Narrow"/>
      </rPr>
      <t xml:space="preserve">Team Sondre
</t>
    </r>
    <r>
      <rPr>
        <sz val="8"/>
        <color theme="1"/>
        <rFont val="Aptos Narrow"/>
      </rPr>
      <t>Tirsdag og onsdag</t>
    </r>
  </si>
  <si>
    <r>
      <t>Python 1</t>
    </r>
    <r>
      <rPr>
        <b/>
        <sz val="12"/>
        <color theme="5" tint="-0.249977111117893"/>
        <rFont val="Aptos Narrow"/>
      </rPr>
      <t>- Team Madde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Tirsdag + onsdag</t>
    </r>
  </si>
  <si>
    <r>
      <t>Datasikkerhet 1</t>
    </r>
    <r>
      <rPr>
        <b/>
        <sz val="12"/>
        <color theme="5" tint="-0.249977111117893"/>
        <rFont val="Aptos Narrow"/>
      </rPr>
      <t>- Team Madde</t>
    </r>
    <r>
      <rPr>
        <sz val="9"/>
        <color rgb="FF000000"/>
        <rFont val="Aptos Narrow"/>
      </rPr>
      <t xml:space="preserve">
Fredag</t>
    </r>
  </si>
  <si>
    <r>
      <t>Infrastruktur 1</t>
    </r>
    <r>
      <rPr>
        <b/>
        <sz val="12"/>
        <color theme="9" tint="-0.249977111117893"/>
        <rFont val="Aptos Narrow"/>
      </rPr>
      <t xml:space="preserve"> - Team Sondre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Fredag</t>
    </r>
  </si>
  <si>
    <t>Rombooking
Arbeidslivet: CV</t>
  </si>
  <si>
    <r>
      <t xml:space="preserve">Javascript 2 </t>
    </r>
    <r>
      <rPr>
        <sz val="12"/>
        <color theme="5" tint="-0.249977111117893"/>
        <rFont val="Aptos Narrow"/>
      </rPr>
      <t>-</t>
    </r>
    <r>
      <rPr>
        <b/>
        <sz val="12"/>
        <color theme="5" tint="-0.249977111117893"/>
        <rFont val="Aptos Narrow"/>
      </rPr>
      <t xml:space="preserve"> Team Madde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Mandag + Fredag</t>
    </r>
  </si>
  <si>
    <r>
      <t>Python 2</t>
    </r>
    <r>
      <rPr>
        <b/>
        <sz val="12"/>
        <color theme="9" tint="-0.249977111117893"/>
        <rFont val="Aptos Narrow"/>
      </rPr>
      <t xml:space="preserve"> - Team Sondre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Mandag + tirsdag</t>
    </r>
  </si>
  <si>
    <r>
      <t xml:space="preserve">Datasikkerhet 2 </t>
    </r>
    <r>
      <rPr>
        <b/>
        <sz val="12"/>
        <color theme="9" tint="-0.249977111117893"/>
        <rFont val="Aptos Narrow"/>
      </rPr>
      <t>- Team Sondre</t>
    </r>
    <r>
      <rPr>
        <sz val="12"/>
        <color rgb="FF000000"/>
        <rFont val="Aptos Narrow"/>
        <family val="2"/>
      </rPr>
      <t xml:space="preserve">
</t>
    </r>
    <r>
      <rPr>
        <sz val="9"/>
        <color rgb="FF000000"/>
        <rFont val="Aptos Narrow"/>
      </rPr>
      <t>Fredag</t>
    </r>
  </si>
  <si>
    <r>
      <t>Infrastruktur 2</t>
    </r>
    <r>
      <rPr>
        <b/>
        <sz val="12"/>
        <color theme="5" tint="-0.249977111117893"/>
        <rFont val="Aptos Narrow"/>
      </rPr>
      <t xml:space="preserve"> - Team Madde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Tirsdag</t>
    </r>
  </si>
  <si>
    <t>Rombooking
Arbeidslivet: Søknad</t>
  </si>
  <si>
    <t xml:space="preserve">
IMST: Fagdag i norsk man 22. sept</t>
  </si>
  <si>
    <t>Grunnleggende kurs, prosjekttid utgår pga. fagdagen på mandag</t>
  </si>
  <si>
    <r>
      <t xml:space="preserve">Javascript 2 - </t>
    </r>
    <r>
      <rPr>
        <b/>
        <sz val="12"/>
        <color theme="9" tint="-0.249977111117893"/>
        <rFont val="Aptos Narrow"/>
      </rPr>
      <t xml:space="preserve">Team Sondre
</t>
    </r>
    <r>
      <rPr>
        <sz val="8"/>
        <color theme="1"/>
        <rFont val="Aptos Narrow"/>
      </rPr>
      <t>Onsdag + Fredag</t>
    </r>
  </si>
  <si>
    <r>
      <rPr>
        <sz val="12"/>
        <color rgb="FF000000"/>
        <rFont val="Aptos Narrow"/>
      </rPr>
      <t xml:space="preserve">Python 2 </t>
    </r>
    <r>
      <rPr>
        <b/>
        <sz val="12"/>
        <color rgb="FFBD5015"/>
        <rFont val="Aptos Narrow"/>
      </rPr>
      <t xml:space="preserve">- Team Madde
</t>
    </r>
    <r>
      <rPr>
        <sz val="8"/>
        <color rgb="FF000000"/>
        <rFont val="Aptos Narrow"/>
      </rPr>
      <t>Tirsdag og onsdag</t>
    </r>
  </si>
  <si>
    <r>
      <t xml:space="preserve">Datasikkerhet 2 </t>
    </r>
    <r>
      <rPr>
        <b/>
        <sz val="12"/>
        <color theme="5" tint="-0.249977111117893"/>
        <rFont val="Aptos Narrow"/>
      </rPr>
      <t>- Team Madde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Fredag</t>
    </r>
  </si>
  <si>
    <r>
      <t xml:space="preserve">Infrastruktur 2 </t>
    </r>
    <r>
      <rPr>
        <b/>
        <sz val="12"/>
        <color theme="9" tint="-0.249977111117893"/>
        <rFont val="Aptos Narrow"/>
      </rPr>
      <t>- Team Sondre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Tirsdag</t>
    </r>
  </si>
  <si>
    <t>Rombooking
Arbeidslivet: Epost og søking</t>
  </si>
  <si>
    <t>HØSTFERIE</t>
  </si>
  <si>
    <t>N00B</t>
  </si>
  <si>
    <t>NOE MER UKA
Solidaritetsdagen tors 09.10
Mental helse lørdagsskole 11.10</t>
  </si>
  <si>
    <t>NOE MER UKA
2IMST i Danmark
2IM Escape room</t>
  </si>
  <si>
    <t xml:space="preserve">NOE MER UKA
</t>
  </si>
  <si>
    <t xml:space="preserve"> Tilbakemelding 1 - Kurs review (skriftlig)</t>
  </si>
  <si>
    <r>
      <t>Javascript 3</t>
    </r>
    <r>
      <rPr>
        <b/>
        <sz val="12"/>
        <color theme="5" tint="-0.249977111117893"/>
        <rFont val="Aptos Narrow"/>
      </rPr>
      <t xml:space="preserve"> - Team Madde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Mandag + Fredag</t>
    </r>
  </si>
  <si>
    <r>
      <t xml:space="preserve">Python 3 </t>
    </r>
    <r>
      <rPr>
        <b/>
        <sz val="12"/>
        <color theme="9" tint="-0.249977111117893"/>
        <rFont val="Aptos Narrow"/>
      </rPr>
      <t>- Team Sondre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Mandag + tirsdag</t>
    </r>
  </si>
  <si>
    <r>
      <t xml:space="preserve">Infrastruktur 3 </t>
    </r>
    <r>
      <rPr>
        <b/>
        <sz val="12"/>
        <color theme="5" tint="-0.249977111117893"/>
        <rFont val="Aptos Narrow"/>
      </rPr>
      <t>- Team Madde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Tirsdag</t>
    </r>
    <r>
      <rPr>
        <sz val="12"/>
        <color rgb="FF000000"/>
        <rFont val="Aptos Narrow"/>
        <family val="2"/>
      </rPr>
      <t xml:space="preserve">
Datasikkerhet 3 - </t>
    </r>
    <r>
      <rPr>
        <b/>
        <sz val="12"/>
        <color theme="9" tint="-0.249977111117893"/>
        <rFont val="Aptos Narrow"/>
      </rPr>
      <t>Team Sondre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Fredag</t>
    </r>
    <r>
      <rPr>
        <sz val="12"/>
        <color rgb="FF000000"/>
        <rFont val="Aptos Narrow"/>
        <family val="2"/>
      </rPr>
      <t xml:space="preserve"> </t>
    </r>
  </si>
  <si>
    <t>2IMST får besøk fra Danmark
2IM Escape room</t>
  </si>
  <si>
    <t>Escaproom + Danmark
2IM - Visning av Ibelin onsdag før lunsj</t>
  </si>
  <si>
    <t>Escaproom + Danmark</t>
  </si>
  <si>
    <t>PRAKSIS</t>
  </si>
  <si>
    <t xml:space="preserve">2IM - PRAKSIS
</t>
  </si>
  <si>
    <t>Status - skriftlig tilbakemelding med status på hvordan du ligger an</t>
  </si>
  <si>
    <r>
      <t xml:space="preserve">Javascript 3 </t>
    </r>
    <r>
      <rPr>
        <b/>
        <sz val="12"/>
        <color theme="9" tint="-0.249977111117893"/>
        <rFont val="Calibri"/>
        <family val="2"/>
      </rPr>
      <t>- Team Sondre</t>
    </r>
    <r>
      <rPr>
        <sz val="12"/>
        <color theme="1"/>
        <rFont val="Calibri"/>
        <family val="2"/>
      </rPr>
      <t xml:space="preserve">
</t>
    </r>
    <r>
      <rPr>
        <sz val="8"/>
        <color theme="1"/>
        <rFont val="Calibri"/>
        <family val="2"/>
      </rPr>
      <t>Mandag + Fredag</t>
    </r>
  </si>
  <si>
    <r>
      <t>Python 3</t>
    </r>
    <r>
      <rPr>
        <b/>
        <sz val="12"/>
        <color theme="5" tint="-0.249977111117893"/>
        <rFont val="Aptos Narrow"/>
      </rPr>
      <t xml:space="preserve"> - Team Madde</t>
    </r>
    <r>
      <rPr>
        <sz val="12"/>
        <color rgb="FF000000"/>
        <rFont val="Aptos Narrow"/>
        <family val="2"/>
      </rPr>
      <t xml:space="preserve">
</t>
    </r>
    <r>
      <rPr>
        <sz val="8"/>
        <color rgb="FF000000"/>
        <rFont val="Aptos Narrow"/>
      </rPr>
      <t>Mandag + Tirsdag</t>
    </r>
  </si>
  <si>
    <r>
      <t>Datasikkerhet 3</t>
    </r>
    <r>
      <rPr>
        <b/>
        <sz val="12"/>
        <color theme="5" tint="-0.249977111117893"/>
        <rFont val="Aptos Narrow"/>
      </rPr>
      <t xml:space="preserve"> - Team Madde</t>
    </r>
    <r>
      <rPr>
        <sz val="12"/>
        <color rgb="FF000000"/>
        <rFont val="Aptos Narrow"/>
        <family val="2"/>
      </rPr>
      <t xml:space="preserve">
</t>
    </r>
    <r>
      <rPr>
        <sz val="9"/>
        <color rgb="FF000000"/>
        <rFont val="Aptos Narrow"/>
      </rPr>
      <t>Fredag</t>
    </r>
  </si>
  <si>
    <r>
      <t xml:space="preserve">Infrastruktur 3 </t>
    </r>
    <r>
      <rPr>
        <b/>
        <sz val="12"/>
        <color theme="9" tint="-0.249977111117893"/>
        <rFont val="Aptos Narrow"/>
      </rPr>
      <t>- Team Sondre</t>
    </r>
    <r>
      <rPr>
        <sz val="12"/>
        <color rgb="FF000000"/>
        <rFont val="Aptos Narrow"/>
        <family val="2"/>
      </rPr>
      <t xml:space="preserve">
</t>
    </r>
    <r>
      <rPr>
        <sz val="9"/>
        <color rgb="FF000000"/>
        <rFont val="Aptos Narrow"/>
      </rPr>
      <t>Tirsdag</t>
    </r>
  </si>
  <si>
    <t>IMST: Fagdag A-blokk ons 12.11</t>
  </si>
  <si>
    <t xml:space="preserve">KOMBOUKE </t>
  </si>
  <si>
    <t>Investorukene - sprint 1</t>
  </si>
  <si>
    <t>Investorukene - SMIDIG 1</t>
  </si>
  <si>
    <t>Besøk fra forsvaret onsdag kl. 10 - Stor audi</t>
  </si>
  <si>
    <t>Investorukene - sprint 2</t>
  </si>
  <si>
    <t>Investorukene - SMIDIG 2</t>
  </si>
  <si>
    <t>Investorukene - GIT started</t>
  </si>
  <si>
    <t>IMST: Fagdag Matte tirs 02.12
IM-visning fre 5. desember
Investordagen onsdag 3. desember</t>
  </si>
  <si>
    <t>Investorukene - sprint 3</t>
  </si>
  <si>
    <t>Status og vurdering</t>
  </si>
  <si>
    <t>2IMIT: Besøk til Intility tir 16.12, besøk fra Comono tors 18.12
Siste skoledag fredag 19.12 kl. 09-11 🎄</t>
  </si>
  <si>
    <t>VURDERING</t>
  </si>
  <si>
    <t>JULEFERIE</t>
  </si>
  <si>
    <t>GRIND</t>
  </si>
  <si>
    <t>Grunnleggende kurs + prosjekttid</t>
  </si>
  <si>
    <r>
      <t xml:space="preserve">AI med python - </t>
    </r>
    <r>
      <rPr>
        <b/>
        <sz val="12"/>
        <color rgb="FFFFC000"/>
        <rFont val="Aptos Narrow"/>
      </rPr>
      <t>Team Pikachu</t>
    </r>
    <r>
      <rPr>
        <sz val="12"/>
        <color rgb="FF000000"/>
        <rFont val="Aptos Narrow"/>
        <family val="2"/>
      </rPr>
      <t xml:space="preserve">
</t>
    </r>
    <r>
      <rPr>
        <i/>
        <sz val="10"/>
        <color rgb="FF000000"/>
        <rFont val="Aptos Narrow"/>
      </rPr>
      <t>Onsdag</t>
    </r>
  </si>
  <si>
    <r>
      <t>Nettverk 1 -</t>
    </r>
    <r>
      <rPr>
        <b/>
        <sz val="12"/>
        <color theme="5"/>
        <rFont val="Aptos Narrow"/>
      </rPr>
      <t xml:space="preserve"> Team Charmander</t>
    </r>
    <r>
      <rPr>
        <sz val="12"/>
        <color rgb="FF000000"/>
        <rFont val="Aptos Narrow"/>
        <family val="2"/>
      </rPr>
      <t xml:space="preserve">
</t>
    </r>
    <r>
      <rPr>
        <i/>
        <sz val="10"/>
        <color rgb="FF000000"/>
        <rFont val="Aptos Narrow"/>
      </rPr>
      <t>Onsdag</t>
    </r>
    <r>
      <rPr>
        <sz val="12"/>
        <color rgb="FF000000"/>
        <rFont val="Aptos Narrow"/>
        <family val="2"/>
      </rPr>
      <t xml:space="preserve">
</t>
    </r>
  </si>
  <si>
    <t>Tilbakemelding i logg på kurs</t>
  </si>
  <si>
    <t>Grunnleggende kurs +  prosjekttid</t>
  </si>
  <si>
    <r>
      <t xml:space="preserve">SQL 2 - </t>
    </r>
    <r>
      <rPr>
        <b/>
        <sz val="12"/>
        <color rgb="FFFFC000"/>
        <rFont val="Aptos Narrow"/>
      </rPr>
      <t xml:space="preserve">Team Pikachu
</t>
    </r>
    <r>
      <rPr>
        <i/>
        <sz val="10"/>
        <color theme="1"/>
        <rFont val="Aptos Narrow"/>
      </rPr>
      <t>Mandag</t>
    </r>
  </si>
  <si>
    <r>
      <t>Risiki -</t>
    </r>
    <r>
      <rPr>
        <b/>
        <sz val="12"/>
        <color rgb="FF000000"/>
        <rFont val="Aptos Narrow"/>
      </rPr>
      <t xml:space="preserve"> </t>
    </r>
    <r>
      <rPr>
        <b/>
        <sz val="12"/>
        <color theme="5"/>
        <rFont val="Aptos Narrow"/>
      </rPr>
      <t>Team Charmander</t>
    </r>
    <r>
      <rPr>
        <sz val="12"/>
        <color rgb="FF000000"/>
        <rFont val="Aptos Narrow"/>
        <family val="2"/>
      </rPr>
      <t xml:space="preserve">
</t>
    </r>
    <r>
      <rPr>
        <i/>
        <sz val="10"/>
        <color rgb="FF000000"/>
        <rFont val="Aptos Narrow"/>
      </rPr>
      <t>Onsdag</t>
    </r>
  </si>
  <si>
    <r>
      <t xml:space="preserve">Kontainere 1 - </t>
    </r>
    <r>
      <rPr>
        <b/>
        <sz val="12"/>
        <color rgb="FFFFC000"/>
        <rFont val="Aptos Narrow"/>
      </rPr>
      <t>Team Pikachu</t>
    </r>
    <r>
      <rPr>
        <sz val="12"/>
        <color rgb="FF000000"/>
        <rFont val="Aptos Narrow"/>
        <family val="2"/>
      </rPr>
      <t xml:space="preserve">
</t>
    </r>
    <r>
      <rPr>
        <i/>
        <sz val="10"/>
        <color rgb="FF000000"/>
        <rFont val="Aptos Narrow"/>
      </rPr>
      <t>Onsdag</t>
    </r>
  </si>
  <si>
    <t>2IM - Praksis
2IMST - Prosjekt</t>
  </si>
  <si>
    <t>2IMIT</t>
  </si>
  <si>
    <t>2IMST</t>
  </si>
  <si>
    <t>Praksis</t>
  </si>
  <si>
    <t>2IMST: Fagdag A-blokka ons 11.02</t>
  </si>
  <si>
    <t>WOMBOKOMBO 1</t>
  </si>
  <si>
    <t>VINTERFERIE</t>
  </si>
  <si>
    <t>WOMBOKOMBO 2</t>
  </si>
  <si>
    <t>KURS: valgfrie kurs + mye prosjekt</t>
  </si>
  <si>
    <t>Eksamenstrening man 9.4-ons 11.04</t>
  </si>
  <si>
    <r>
      <rPr>
        <b/>
        <sz val="12"/>
        <color rgb="FF000000"/>
        <rFont val="Aptos Narrow"/>
      </rPr>
      <t>Eksamenstrening</t>
    </r>
    <r>
      <rPr>
        <sz val="12"/>
        <color rgb="FF000000"/>
        <rFont val="Aptos Narrow"/>
        <family val="2"/>
      </rPr>
      <t xml:space="preserve"> </t>
    </r>
  </si>
  <si>
    <t>Hardware - hva gjør man når krisen intreffer</t>
  </si>
  <si>
    <t>2IMST: Fagdag matte tirs 24.04
Madeleines siste arbeidsdag fre 27.04</t>
  </si>
  <si>
    <r>
      <t xml:space="preserve">GG
</t>
    </r>
    <r>
      <rPr>
        <sz val="9"/>
        <color rgb="FF000000"/>
        <rFont val="Aptos Narrow"/>
      </rPr>
      <t>Good game</t>
    </r>
  </si>
  <si>
    <t>PÅSKEFERIE</t>
  </si>
  <si>
    <t xml:space="preserve">Tilbakemelding  4 - Faglig review (samtale) </t>
  </si>
  <si>
    <t>Workshop: last ned og test virus og malware på en windowsmaskin</t>
  </si>
  <si>
    <t>ELEVKURS</t>
  </si>
  <si>
    <t>EKSAMENSTREKK offentliggjøres tirs 28. april
FRI fredag 1. mai - Arbeidernes dag</t>
  </si>
  <si>
    <t>ELEVKURS/STATUS</t>
  </si>
  <si>
    <t>FRI torsdag 14. mai - Kr. Himmelfart</t>
  </si>
  <si>
    <t>VURDERING / Teknologi og samfunn</t>
  </si>
  <si>
    <t>FRI mandag 25. mai - Pinse</t>
  </si>
  <si>
    <t>Eksamensuker</t>
  </si>
  <si>
    <t>Siste skoledag fredag 21. juni</t>
  </si>
  <si>
    <t>SOMMERFERIE</t>
  </si>
  <si>
    <t>Abdullah</t>
  </si>
  <si>
    <t>Gard</t>
  </si>
  <si>
    <t>Einar</t>
  </si>
  <si>
    <t>Dennis</t>
  </si>
  <si>
    <t>Eirik</t>
  </si>
  <si>
    <t>Jonas</t>
  </si>
  <si>
    <t>Iver</t>
  </si>
  <si>
    <t>Mads</t>
  </si>
  <si>
    <t>Kristian</t>
  </si>
  <si>
    <t>Mikkel</t>
  </si>
  <si>
    <t>Oscar</t>
  </si>
  <si>
    <t>Sebastian Gaius</t>
  </si>
  <si>
    <t>Stefan</t>
  </si>
  <si>
    <t>Sebastian Sønvis</t>
  </si>
  <si>
    <t>Tord</t>
  </si>
  <si>
    <t>Sverre</t>
  </si>
  <si>
    <t>Vinh Anh</t>
  </si>
  <si>
    <t>Peter</t>
  </si>
  <si>
    <t>William</t>
  </si>
  <si>
    <t>Albertine</t>
  </si>
  <si>
    <t>Daniel</t>
  </si>
  <si>
    <t>Alice</t>
  </si>
  <si>
    <t>Darin</t>
  </si>
  <si>
    <t>Dorian</t>
  </si>
  <si>
    <t>Alexander</t>
  </si>
  <si>
    <t>Karim</t>
  </si>
  <si>
    <t>Emil</t>
  </si>
  <si>
    <t>Kritika</t>
  </si>
  <si>
    <t>Magnus S.</t>
  </si>
  <si>
    <t>Magnus A.</t>
  </si>
  <si>
    <t>Max</t>
  </si>
  <si>
    <t>Mats</t>
  </si>
  <si>
    <t>Nicolas</t>
  </si>
  <si>
    <t>Ragnar</t>
  </si>
  <si>
    <t>Youssef</t>
  </si>
  <si>
    <t>HØST</t>
  </si>
  <si>
    <t>VÅR</t>
  </si>
  <si>
    <t>Team Madde</t>
  </si>
  <si>
    <t>Team Sondre</t>
  </si>
  <si>
    <t>Team Pikachu</t>
  </si>
  <si>
    <t>Team Charmander</t>
  </si>
  <si>
    <t>Roadmaps</t>
  </si>
  <si>
    <t>Obligatoriske kurs</t>
  </si>
  <si>
    <t>Kombo-prosjekt</t>
  </si>
  <si>
    <t>Wombokombo-prosjekt</t>
  </si>
  <si>
    <t>GRIND-kurs</t>
  </si>
  <si>
    <t>Frontend uvikling</t>
  </si>
  <si>
    <t xml:space="preserve">JavaScript, </t>
  </si>
  <si>
    <t xml:space="preserve">JS Dev </t>
  </si>
  <si>
    <t>Backend utvikling</t>
  </si>
  <si>
    <t>Python</t>
  </si>
  <si>
    <t>DevOps</t>
  </si>
  <si>
    <t>Python, Datasikkerhet</t>
  </si>
  <si>
    <t>Fullstack</t>
  </si>
  <si>
    <t>Hacker</t>
  </si>
  <si>
    <t>GameDev</t>
  </si>
  <si>
    <t>Techsupport</t>
  </si>
  <si>
    <t>PROSJEKTER</t>
  </si>
  <si>
    <t>Info</t>
  </si>
  <si>
    <r>
      <t xml:space="preserve">Oversikt over forskjellige prosjektforslag. 
</t>
    </r>
    <r>
      <rPr>
        <sz val="22"/>
        <color theme="1"/>
        <rFont val="Aptos Narrow"/>
        <family val="2"/>
        <scheme val="minor"/>
      </rPr>
      <t>For forslag til tekknologier og språk du kan lære deg sjekk ut fanen fordypninger.</t>
    </r>
  </si>
  <si>
    <t>Tittel</t>
  </si>
  <si>
    <t>Beskrivelse</t>
  </si>
  <si>
    <t>Anbefalt gruppestørrelse</t>
  </si>
  <si>
    <t>Gjør noe på denne lista</t>
  </si>
  <si>
    <t xml:space="preserve">https://github.com/florinpop17/app-ideas </t>
  </si>
  <si>
    <t>Adventskalender for IM</t>
  </si>
  <si>
    <t>Lag en adventskalender med 24 luker for IM 2024</t>
  </si>
  <si>
    <t>1-5</t>
  </si>
  <si>
    <t xml:space="preserve">Portefolionettside </t>
  </si>
  <si>
    <t xml:space="preserve">Nettside som viser frem arbeidet ditt. Eksempel her: https://portfolio-madelelo.vercel.app/ </t>
  </si>
  <si>
    <t>1</t>
  </si>
  <si>
    <t>Codewars</t>
  </si>
  <si>
    <t>https://www.codewars.com/</t>
  </si>
  <si>
    <t>CopyCat</t>
  </si>
  <si>
    <t>Finn en nettside eller system du kan kopiere. For eksempel baknoe.no</t>
  </si>
  <si>
    <t>Infoskjerm</t>
  </si>
  <si>
    <t>Lag en infoskjerm nettside som tar inn vær, nyheter og bussruter som er relvant for Elvebakken</t>
  </si>
  <si>
    <t>1-2</t>
  </si>
  <si>
    <t>Kantinenetsside</t>
  </si>
  <si>
    <t>Nettside som viser hva det er i kantina hver dag</t>
  </si>
  <si>
    <t>2-5</t>
  </si>
  <si>
    <t>BakkaBingo - webløsning</t>
  </si>
  <si>
    <t>Lage en webapplikasjon der man kan spille bingo. Det skal være mulig å legge til én og én spiller, og det må være mulig å kjøre en runde med bingo. Gjerne med en visuell presentasjon av at det kommer tall.</t>
  </si>
  <si>
    <t>BakkaBingo - nedlastbar applikasjon</t>
  </si>
  <si>
    <t>Samme som over, men en nedlastbar applikasjon.</t>
  </si>
  <si>
    <t>BakkaBoards</t>
  </si>
  <si>
    <t>Lage en applikasjon som kan vises på skjerm der vi har en oversikt over forskjellige Highscores som er blitt oppnådd i BakkaRcade.</t>
  </si>
  <si>
    <t>Ansiktsgjenkjenning</t>
  </si>
  <si>
    <t>Lage en applikasjon som bruker AI og forskjellige rammeverk for å gjenkjenne ansikter.</t>
  </si>
  <si>
    <t>BakkaRcade</t>
  </si>
  <si>
    <t>Lage et arcadespill ELLER sette opp en emulator som skal kjøre et arcadespill. Få det opp på en PC eller en Raspberry PI og koble til skjerm.</t>
  </si>
  <si>
    <t>1-3</t>
  </si>
  <si>
    <t>To do app</t>
  </si>
  <si>
    <t>Lag din egen to do liste</t>
  </si>
  <si>
    <t>Bakka wordle - webapp</t>
  </si>
  <si>
    <t>Discordbot</t>
  </si>
  <si>
    <t xml:space="preserve">Lag en bot som gjør noe kult i discord. </t>
  </si>
  <si>
    <t>Vurderingssamtaler før jul</t>
  </si>
  <si>
    <t>Oversikt elever, lærere og fag</t>
  </si>
  <si>
    <t>NB! Denne kan oppdateres! Følg med om det kommer endringer eller forskyvninger.</t>
  </si>
  <si>
    <t>Fredag</t>
  </si>
  <si>
    <t>12. des</t>
  </si>
  <si>
    <t>Mandag</t>
  </si>
  <si>
    <t>15. des</t>
  </si>
  <si>
    <t>Tirsdag</t>
  </si>
  <si>
    <t>16. des</t>
  </si>
  <si>
    <t>Onsdag</t>
  </si>
  <si>
    <t>17. des</t>
  </si>
  <si>
    <t>Torsdag</t>
  </si>
  <si>
    <t>18. des</t>
  </si>
  <si>
    <t>Tid</t>
  </si>
  <si>
    <t xml:space="preserve">Mathias </t>
  </si>
  <si>
    <t xml:space="preserve">Kristoffer </t>
  </si>
  <si>
    <t>Navn</t>
  </si>
  <si>
    <t>Klasse</t>
  </si>
  <si>
    <t>Uvikling</t>
  </si>
  <si>
    <t>Brukerstøtte</t>
  </si>
  <si>
    <t>Drift</t>
  </si>
  <si>
    <t>Antall samtaler</t>
  </si>
  <si>
    <t>Plass</t>
  </si>
  <si>
    <t>Esport</t>
  </si>
  <si>
    <t>Utsikten</t>
  </si>
  <si>
    <t>Grupperom IMC</t>
  </si>
  <si>
    <t>IT-lab</t>
  </si>
  <si>
    <t>Skal være minst 2</t>
  </si>
  <si>
    <t>Sit in--&gt;</t>
  </si>
  <si>
    <t>Besøk fra Comono 2IMIT</t>
  </si>
  <si>
    <t>PAUSE</t>
  </si>
  <si>
    <t>PAUSE(eirik)</t>
  </si>
  <si>
    <t>Sit in &lt;--</t>
  </si>
  <si>
    <t>2IMSTIT</t>
  </si>
  <si>
    <t>Sit in Mt -&gt;</t>
  </si>
  <si>
    <t>STOREFRI</t>
  </si>
  <si>
    <t>Sit in K -&gt;</t>
  </si>
  <si>
    <t>Sit in S &lt;--</t>
  </si>
  <si>
    <t>Besøk til intility 2IMIT</t>
  </si>
  <si>
    <t>Juleverksted</t>
  </si>
  <si>
    <r>
      <t xml:space="preserve">SQL 1 - </t>
    </r>
    <r>
      <rPr>
        <b/>
        <sz val="12"/>
        <color rgb="FFFFC000"/>
        <rFont val="Aptos Narrow"/>
      </rPr>
      <t xml:space="preserve">Team Pikachu
</t>
    </r>
    <r>
      <rPr>
        <i/>
        <sz val="10"/>
        <color theme="1"/>
        <rFont val="Aptos Narrow"/>
      </rPr>
      <t>Mandag</t>
    </r>
  </si>
  <si>
    <r>
      <t xml:space="preserve">Risiki - </t>
    </r>
    <r>
      <rPr>
        <b/>
        <sz val="12"/>
        <color rgb="FFFFC000"/>
        <rFont val="Aptos Narrow"/>
      </rPr>
      <t>Team Pikachu</t>
    </r>
    <r>
      <rPr>
        <sz val="12"/>
        <color rgb="FF000000"/>
        <rFont val="Aptos Narrow"/>
        <family val="2"/>
      </rPr>
      <t xml:space="preserve">
</t>
    </r>
    <r>
      <rPr>
        <i/>
        <sz val="10"/>
        <color rgb="FF000000"/>
        <rFont val="Aptos Narrow"/>
      </rPr>
      <t>Onsdag</t>
    </r>
  </si>
  <si>
    <r>
      <t>AI med python -</t>
    </r>
    <r>
      <rPr>
        <b/>
        <sz val="12"/>
        <color rgb="FF000000"/>
        <rFont val="Aptos Narrow"/>
      </rPr>
      <t xml:space="preserve"> </t>
    </r>
    <r>
      <rPr>
        <b/>
        <sz val="12"/>
        <color theme="5"/>
        <rFont val="Aptos Narrow"/>
      </rPr>
      <t>Team Charmander</t>
    </r>
    <r>
      <rPr>
        <sz val="12"/>
        <color rgb="FF000000"/>
        <rFont val="Aptos Narrow"/>
        <family val="2"/>
      </rPr>
      <t xml:space="preserve">
</t>
    </r>
    <r>
      <rPr>
        <i/>
        <sz val="10"/>
        <color rgb="FF000000"/>
        <rFont val="Aptos Narrow"/>
      </rPr>
      <t>Onsdag</t>
    </r>
  </si>
  <si>
    <r>
      <t>Kontainere 1 -</t>
    </r>
    <r>
      <rPr>
        <b/>
        <sz val="12"/>
        <color theme="5"/>
        <rFont val="Aptos Narrow"/>
      </rPr>
      <t xml:space="preserve"> Team Charmander</t>
    </r>
    <r>
      <rPr>
        <sz val="12"/>
        <color rgb="FF000000"/>
        <rFont val="Aptos Narrow"/>
        <family val="2"/>
      </rPr>
      <t xml:space="preserve">
</t>
    </r>
    <r>
      <rPr>
        <i/>
        <sz val="10"/>
        <color rgb="FF000000"/>
        <rFont val="Aptos Narrow"/>
      </rPr>
      <t>Onsdag</t>
    </r>
    <r>
      <rPr>
        <sz val="12"/>
        <color rgb="FF000000"/>
        <rFont val="Aptos Narrow"/>
        <family val="2"/>
      </rPr>
      <t xml:space="preserve">
</t>
    </r>
  </si>
  <si>
    <r>
      <t xml:space="preserve">Nettverk 1 - </t>
    </r>
    <r>
      <rPr>
        <b/>
        <sz val="12"/>
        <color rgb="FFFFC000"/>
        <rFont val="Aptos Narrow"/>
      </rPr>
      <t>Team Pikachu</t>
    </r>
    <r>
      <rPr>
        <sz val="12"/>
        <color rgb="FF000000"/>
        <rFont val="Aptos Narrow"/>
        <family val="2"/>
      </rPr>
      <t xml:space="preserve">
</t>
    </r>
    <r>
      <rPr>
        <i/>
        <sz val="10"/>
        <color rgb="FF000000"/>
        <rFont val="Aptos Narrow"/>
      </rPr>
      <t>Onsdag</t>
    </r>
  </si>
  <si>
    <t>Første skoledag  5.01
Prosjekt Y starter opp fredag
2IMIT: Besøk fra FRID IKS torsdag</t>
  </si>
  <si>
    <t>2IMST: Fagdag norsk mandag
2IMIT: Besøk Statens pensjonskasse torsdag</t>
  </si>
  <si>
    <r>
      <t xml:space="preserve">SQL 1 - </t>
    </r>
    <r>
      <rPr>
        <b/>
        <sz val="12"/>
        <color theme="5"/>
        <rFont val="Aptos Narrow"/>
      </rPr>
      <t>Alle</t>
    </r>
    <r>
      <rPr>
        <sz val="12"/>
        <color rgb="FF000000"/>
        <rFont val="Aptos Narrow"/>
        <family val="2"/>
      </rPr>
      <t xml:space="preserve">
</t>
    </r>
    <r>
      <rPr>
        <i/>
        <sz val="10"/>
        <color rgb="FF000000"/>
        <rFont val="Aptos Narrow"/>
      </rPr>
      <t>Mandag</t>
    </r>
  </si>
  <si>
    <r>
      <t xml:space="preserve">Techdocs- BS - </t>
    </r>
    <r>
      <rPr>
        <b/>
        <sz val="12"/>
        <color theme="5"/>
        <rFont val="Aptos Narrow"/>
      </rPr>
      <t xml:space="preserve">ALLE
</t>
    </r>
    <r>
      <rPr>
        <i/>
        <sz val="10"/>
        <color theme="1"/>
        <rFont val="Aptos Narrow"/>
      </rPr>
      <t>Mandag: IMST 08-10, IMIT 10-1130</t>
    </r>
  </si>
  <si>
    <r>
      <t xml:space="preserve">Tech innenfor loven - BS - </t>
    </r>
    <r>
      <rPr>
        <b/>
        <sz val="12"/>
        <color rgb="FF000000"/>
        <rFont val="Aptos Narrow"/>
      </rPr>
      <t>ALLE</t>
    </r>
    <r>
      <rPr>
        <sz val="12"/>
        <color rgb="FF000000"/>
        <rFont val="Aptos Narrow"/>
        <family val="2"/>
      </rPr>
      <t xml:space="preserve"> </t>
    </r>
    <r>
      <rPr>
        <b/>
        <sz val="12"/>
        <color theme="5"/>
        <rFont val="Aptos Narrow"/>
      </rPr>
      <t xml:space="preserve">
</t>
    </r>
    <r>
      <rPr>
        <i/>
        <sz val="10"/>
        <color theme="1"/>
        <rFont val="Aptos Narrow"/>
      </rPr>
      <t>Mandag: IMST 08-10, IMIT 10-1130</t>
    </r>
  </si>
  <si>
    <t>Åpen dag tirs 20. jan, 
Smak av Elvebakken tors 22. jan
2IMIT: Besøk fra Cyberforsvaret tors</t>
  </si>
  <si>
    <r>
      <t xml:space="preserve">SQL 2- </t>
    </r>
    <r>
      <rPr>
        <b/>
        <sz val="12"/>
        <color theme="5"/>
        <rFont val="Aptos Narrow"/>
      </rPr>
      <t>Team YF</t>
    </r>
    <r>
      <rPr>
        <sz val="12"/>
        <color rgb="FF000000"/>
        <rFont val="Aptos Narrow"/>
        <family val="2"/>
      </rPr>
      <t xml:space="preserve">
</t>
    </r>
    <r>
      <rPr>
        <i/>
        <sz val="10"/>
        <color rgb="FF000000"/>
        <rFont val="Aptos Narrow"/>
      </rPr>
      <t>Mandag</t>
    </r>
  </si>
  <si>
    <t>Mandag: 2IMST Fagdag engelsk
2IMST: Åpen dag UiO/OsloMet tors  05.04</t>
  </si>
  <si>
    <t>WOMBOKOMBO 2 (bytte ons/man)</t>
  </si>
  <si>
    <t>WOMBOKOMBO 2 (bytta til man/ons)</t>
  </si>
  <si>
    <t>2IMIT: TechMeet IT tirs</t>
  </si>
  <si>
    <t>(Borte)</t>
  </si>
  <si>
    <t>Automatisert testing</t>
  </si>
  <si>
    <t>Nettverksdokumentasjon</t>
  </si>
  <si>
    <t>Vibekoding - hvordan bruke AI bra</t>
  </si>
  <si>
    <t>Pasword managament</t>
  </si>
  <si>
    <t>Onprem hosting av nettsider</t>
  </si>
  <si>
    <t>Onprem hosting av nettsider/Brukbarhetsteting</t>
  </si>
  <si>
    <r>
      <rPr>
        <b/>
        <sz val="12"/>
        <color rgb="FF000000"/>
        <rFont val="Aptos Narrow"/>
      </rPr>
      <t>Diagrammer, systemskisser og nyttige lister (</t>
    </r>
    <r>
      <rPr>
        <sz val="12"/>
        <color rgb="FF000000"/>
        <rFont val="Aptos Narrow"/>
        <family val="2"/>
      </rPr>
      <t>eksamensmat)
(onsdag kl. 0830)</t>
    </r>
  </si>
  <si>
    <t xml:space="preserve">Systemintegrasjon (tirsdag kl. 1300)
Repeat: Kontainere (onsdag kl. 10) </t>
  </si>
  <si>
    <t>Supabase</t>
  </si>
  <si>
    <t>SvelteKit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</si>
</sst>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rgb="FF000000"/>
      <name val="Aptos Narrow"/>
      <family val="2"/>
    </font>
    <font>
      <b/>
      <sz val="16"/>
      <color rgb="FF000000"/>
      <name val="Aptos Narrow"/>
      <family val="2"/>
    </font>
    <font>
      <sz val="20"/>
      <color rgb="FF000000"/>
      <name val="Aptos Narrow"/>
      <family val="2"/>
    </font>
    <font>
      <sz val="12"/>
      <color rgb="FF000000"/>
      <name val="Aptos Narrow"/>
      <family val="2"/>
    </font>
    <font>
      <sz val="12"/>
      <color rgb="FF000000"/>
      <name val="Calibri"/>
      <family val="2"/>
    </font>
    <font>
      <b/>
      <sz val="12"/>
      <color rgb="FF000000"/>
      <name val="Aptos Narrow"/>
      <family val="2"/>
    </font>
    <font>
      <sz val="12"/>
      <color rgb="FFED7D31"/>
      <name val="Calibri"/>
      <family val="2"/>
    </font>
    <font>
      <sz val="12"/>
      <color rgb="FF000000"/>
      <name val="Calibri (Body)"/>
    </font>
    <font>
      <sz val="18"/>
      <color rgb="FF000000"/>
      <name val="Calibri (Body)"/>
    </font>
    <font>
      <b/>
      <sz val="12"/>
      <color rgb="FF000000"/>
      <name val="Aptos Narrow"/>
    </font>
    <font>
      <b/>
      <sz val="14"/>
      <color rgb="FF000000"/>
      <name val="Aptos Narrow"/>
      <family val="2"/>
    </font>
    <font>
      <sz val="9"/>
      <color rgb="FF000000"/>
      <name val="Aptos Narrow"/>
    </font>
    <font>
      <sz val="12"/>
      <color theme="1"/>
      <name val="Calibri"/>
      <family val="2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8"/>
      <color rgb="FF000000"/>
      <name val="Aptos Narrow"/>
      <family val="2"/>
    </font>
    <font>
      <b/>
      <sz val="12"/>
      <color theme="9" tint="-0.249977111117893"/>
      <name val="Aptos Narrow"/>
    </font>
    <font>
      <b/>
      <sz val="12"/>
      <color theme="9" tint="-0.249977111117893"/>
      <name val="Calibri"/>
      <family val="2"/>
    </font>
    <font>
      <sz val="12"/>
      <color theme="5" tint="-0.249977111117893"/>
      <name val="Aptos Narrow"/>
    </font>
    <font>
      <b/>
      <sz val="12"/>
      <color theme="5" tint="-0.249977111117893"/>
      <name val="Aptos Narrow"/>
    </font>
    <font>
      <sz val="8"/>
      <color rgb="FF000000"/>
      <name val="Aptos Narrow"/>
    </font>
    <font>
      <sz val="8"/>
      <color theme="1"/>
      <name val="Aptos Narrow"/>
    </font>
    <font>
      <sz val="8"/>
      <color theme="1"/>
      <name val="Calibri"/>
      <family val="2"/>
    </font>
    <font>
      <b/>
      <sz val="11"/>
      <color theme="5" tint="-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2"/>
      <color theme="1"/>
      <name val="Aptos"/>
      <family val="2"/>
      <charset val="1"/>
    </font>
    <font>
      <u/>
      <sz val="11"/>
      <color theme="10"/>
      <name val="Aptos Narrow"/>
      <family val="2"/>
      <scheme val="minor"/>
    </font>
    <font>
      <sz val="7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5" tint="-0.249977111117893"/>
      <name val="Aptos Narrow"/>
      <family val="2"/>
      <scheme val="minor"/>
    </font>
    <font>
      <b/>
      <sz val="14"/>
      <color theme="6" tint="-0.249977111117893"/>
      <name val="Aptos Narrow"/>
      <family val="2"/>
      <scheme val="minor"/>
    </font>
    <font>
      <sz val="14"/>
      <color theme="1"/>
      <name val="Aptos"/>
      <family val="2"/>
      <charset val="1"/>
    </font>
    <font>
      <sz val="12"/>
      <color rgb="FF000000"/>
      <name val="Aptos Narrow"/>
    </font>
    <font>
      <b/>
      <sz val="12"/>
      <color rgb="FFBD5015"/>
      <name val="Aptos Narrow"/>
    </font>
    <font>
      <b/>
      <sz val="48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36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26"/>
      <color rgb="FF000000"/>
      <name val="Aptos Narrow"/>
      <family val="2"/>
      <scheme val="minor"/>
    </font>
    <font>
      <b/>
      <sz val="22"/>
      <color rgb="FF000000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  <font>
      <b/>
      <i/>
      <sz val="16"/>
      <color rgb="FF000000"/>
      <name val="Aptos Narrow"/>
      <family val="2"/>
      <scheme val="minor"/>
    </font>
    <font>
      <i/>
      <sz val="16"/>
      <color rgb="FF000000"/>
      <name val="Aptos Narrow"/>
      <family val="2"/>
      <scheme val="minor"/>
    </font>
    <font>
      <sz val="16"/>
      <name val="Aptos Narrow"/>
      <family val="2"/>
      <scheme val="minor"/>
    </font>
    <font>
      <sz val="11"/>
      <color rgb="FF000000"/>
      <name val="Calibri"/>
      <family val="2"/>
    </font>
    <font>
      <sz val="16"/>
      <color rgb="FF000000"/>
      <name val="Aptos Narrow"/>
      <scheme val="minor"/>
    </font>
    <font>
      <i/>
      <sz val="16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b/>
      <sz val="18"/>
      <color theme="0"/>
      <name val="Aptos Narrow"/>
      <scheme val="minor"/>
    </font>
    <font>
      <i/>
      <sz val="10"/>
      <color rgb="FF000000"/>
      <name val="Aptos Narrow"/>
    </font>
    <font>
      <b/>
      <sz val="12"/>
      <color theme="5"/>
      <name val="Aptos Narrow"/>
    </font>
    <font>
      <b/>
      <sz val="12"/>
      <color rgb="FFFFC000"/>
      <name val="Aptos Narrow"/>
    </font>
    <font>
      <i/>
      <sz val="10"/>
      <color theme="1"/>
      <name val="Aptos Narrow"/>
    </font>
    <font>
      <b/>
      <sz val="16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3BE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75B5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BFB7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/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/>
      <right style="thin">
        <color rgb="FFE7E6E6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E7E6E6"/>
      </right>
      <top/>
      <bottom style="thin">
        <color rgb="FFE7E6E6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20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/>
    </xf>
    <xf numFmtId="0" fontId="5" fillId="7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8" borderId="1" xfId="0" applyFont="1" applyFill="1" applyBorder="1" applyAlignment="1">
      <alignment vertical="top"/>
    </xf>
    <xf numFmtId="0" fontId="11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/>
    </xf>
    <xf numFmtId="0" fontId="11" fillId="5" borderId="1" xfId="0" applyFont="1" applyFill="1" applyBorder="1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4" fillId="13" borderId="1" xfId="0" applyFont="1" applyFill="1" applyBorder="1" applyAlignment="1">
      <alignment vertical="top" wrapText="1"/>
    </xf>
    <xf numFmtId="0" fontId="4" fillId="14" borderId="1" xfId="0" applyFont="1" applyFill="1" applyBorder="1" applyAlignment="1">
      <alignment vertical="top" wrapText="1"/>
    </xf>
    <xf numFmtId="0" fontId="11" fillId="10" borderId="1" xfId="0" applyFont="1" applyFill="1" applyBorder="1" applyAlignment="1">
      <alignment vertical="top"/>
    </xf>
    <xf numFmtId="0" fontId="6" fillId="0" borderId="0" xfId="0" applyFont="1" applyAlignment="1">
      <alignment vertical="top" wrapText="1"/>
    </xf>
    <xf numFmtId="0" fontId="15" fillId="0" borderId="0" xfId="0" applyFont="1"/>
    <xf numFmtId="16" fontId="6" fillId="0" borderId="1" xfId="0" applyNumberFormat="1" applyFont="1" applyBorder="1" applyAlignment="1">
      <alignment vertical="top" wrapText="1"/>
    </xf>
    <xf numFmtId="0" fontId="0" fillId="0" borderId="0" xfId="0" applyAlignment="1">
      <alignment horizontal="center" vertical="top"/>
    </xf>
    <xf numFmtId="0" fontId="11" fillId="0" borderId="0" xfId="0" applyFont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/>
    </xf>
    <xf numFmtId="0" fontId="5" fillId="15" borderId="0" xfId="0" applyFont="1" applyFill="1" applyAlignment="1">
      <alignment vertical="top"/>
    </xf>
    <xf numFmtId="0" fontId="0" fillId="15" borderId="0" xfId="0" applyFill="1" applyAlignment="1">
      <alignment vertical="top"/>
    </xf>
    <xf numFmtId="0" fontId="8" fillId="15" borderId="1" xfId="0" applyFont="1" applyFill="1" applyBorder="1" applyAlignment="1">
      <alignment vertical="top"/>
    </xf>
    <xf numFmtId="0" fontId="7" fillId="5" borderId="1" xfId="0" applyFont="1" applyFill="1" applyBorder="1" applyAlignment="1">
      <alignment horizontal="center" vertical="center" wrapText="1"/>
    </xf>
    <xf numFmtId="14" fontId="17" fillId="4" borderId="0" xfId="0" applyNumberFormat="1" applyFont="1" applyFill="1" applyAlignment="1">
      <alignment vertical="top" wrapText="1"/>
    </xf>
    <xf numFmtId="0" fontId="17" fillId="4" borderId="0" xfId="0" quotePrefix="1" applyFont="1" applyFill="1" applyAlignment="1">
      <alignment horizontal="center" vertical="top" wrapText="1"/>
    </xf>
    <xf numFmtId="14" fontId="17" fillId="5" borderId="8" xfId="0" applyNumberFormat="1" applyFont="1" applyFill="1" applyBorder="1" applyAlignment="1">
      <alignment vertical="top" wrapText="1"/>
    </xf>
    <xf numFmtId="0" fontId="17" fillId="5" borderId="5" xfId="0" quotePrefix="1" applyFont="1" applyFill="1" applyBorder="1" applyAlignment="1">
      <alignment horizontal="center" vertical="top" wrapText="1"/>
    </xf>
    <xf numFmtId="14" fontId="17" fillId="5" borderId="6" xfId="0" applyNumberFormat="1" applyFont="1" applyFill="1" applyBorder="1" applyAlignment="1">
      <alignment vertical="top" wrapText="1"/>
    </xf>
    <xf numFmtId="14" fontId="17" fillId="4" borderId="2" xfId="0" applyNumberFormat="1" applyFont="1" applyFill="1" applyBorder="1" applyAlignment="1">
      <alignment vertical="top" wrapText="1"/>
    </xf>
    <xf numFmtId="14" fontId="17" fillId="4" borderId="7" xfId="0" applyNumberFormat="1" applyFont="1" applyFill="1" applyBorder="1" applyAlignment="1">
      <alignment vertical="top" wrapText="1"/>
    </xf>
    <xf numFmtId="14" fontId="17" fillId="5" borderId="2" xfId="0" applyNumberFormat="1" applyFont="1" applyFill="1" applyBorder="1" applyAlignment="1">
      <alignment vertical="top" wrapText="1"/>
    </xf>
    <xf numFmtId="0" fontId="17" fillId="5" borderId="0" xfId="0" quotePrefix="1" applyFont="1" applyFill="1" applyAlignment="1">
      <alignment horizontal="center" vertical="top" wrapText="1"/>
    </xf>
    <xf numFmtId="14" fontId="17" fillId="5" borderId="7" xfId="0" applyNumberFormat="1" applyFont="1" applyFill="1" applyBorder="1" applyAlignment="1">
      <alignment vertical="top" wrapText="1"/>
    </xf>
    <xf numFmtId="14" fontId="17" fillId="14" borderId="2" xfId="0" applyNumberFormat="1" applyFont="1" applyFill="1" applyBorder="1" applyAlignment="1">
      <alignment vertical="top" wrapText="1"/>
    </xf>
    <xf numFmtId="0" fontId="17" fillId="14" borderId="0" xfId="0" quotePrefix="1" applyFont="1" applyFill="1" applyAlignment="1">
      <alignment horizontal="center" vertical="top" wrapText="1"/>
    </xf>
    <xf numFmtId="14" fontId="17" fillId="14" borderId="7" xfId="0" applyNumberFormat="1" applyFont="1" applyFill="1" applyBorder="1" applyAlignment="1">
      <alignment vertical="top" wrapText="1"/>
    </xf>
    <xf numFmtId="14" fontId="17" fillId="13" borderId="2" xfId="0" applyNumberFormat="1" applyFont="1" applyFill="1" applyBorder="1" applyAlignment="1">
      <alignment vertical="top" wrapText="1"/>
    </xf>
    <xf numFmtId="0" fontId="17" fillId="13" borderId="0" xfId="0" quotePrefix="1" applyFont="1" applyFill="1" applyAlignment="1">
      <alignment horizontal="center" vertical="top" wrapText="1"/>
    </xf>
    <xf numFmtId="14" fontId="17" fillId="13" borderId="7" xfId="0" applyNumberFormat="1" applyFont="1" applyFill="1" applyBorder="1" applyAlignment="1">
      <alignment vertical="top" wrapText="1"/>
    </xf>
    <xf numFmtId="14" fontId="17" fillId="5" borderId="12" xfId="0" applyNumberFormat="1" applyFont="1" applyFill="1" applyBorder="1" applyAlignment="1">
      <alignment vertical="top" wrapText="1"/>
    </xf>
    <xf numFmtId="0" fontId="17" fillId="5" borderId="13" xfId="0" quotePrefix="1" applyFont="1" applyFill="1" applyBorder="1" applyAlignment="1">
      <alignment horizontal="center" vertical="top" wrapText="1"/>
    </xf>
    <xf numFmtId="14" fontId="17" fillId="5" borderId="14" xfId="0" applyNumberFormat="1" applyFont="1" applyFill="1" applyBorder="1" applyAlignment="1">
      <alignment vertical="top" wrapText="1"/>
    </xf>
    <xf numFmtId="0" fontId="14" fillId="15" borderId="1" xfId="0" applyFont="1" applyFill="1" applyBorder="1" applyAlignment="1">
      <alignment vertical="top" wrapText="1"/>
    </xf>
    <xf numFmtId="0" fontId="30" fillId="19" borderId="0" xfId="0" applyFont="1" applyFill="1"/>
    <xf numFmtId="0" fontId="30" fillId="20" borderId="0" xfId="0" applyFont="1" applyFill="1"/>
    <xf numFmtId="49" fontId="30" fillId="20" borderId="0" xfId="0" applyNumberFormat="1" applyFont="1" applyFill="1"/>
    <xf numFmtId="49" fontId="32" fillId="0" borderId="0" xfId="0" applyNumberFormat="1" applyFont="1" applyAlignment="1">
      <alignment wrapText="1"/>
    </xf>
    <xf numFmtId="49" fontId="32" fillId="0" borderId="0" xfId="0" applyNumberFormat="1" applyFont="1" applyAlignment="1">
      <alignment vertical="top" wrapText="1"/>
    </xf>
    <xf numFmtId="49" fontId="34" fillId="0" borderId="0" xfId="1" applyNumberFormat="1" applyFont="1" applyAlignment="1">
      <alignment vertical="top" wrapText="1"/>
    </xf>
    <xf numFmtId="49" fontId="32" fillId="0" borderId="0" xfId="1" applyNumberFormat="1" applyFont="1" applyFill="1" applyAlignment="1">
      <alignment vertical="top" wrapText="1"/>
    </xf>
    <xf numFmtId="49" fontId="35" fillId="0" borderId="0" xfId="0" applyNumberFormat="1" applyFont="1" applyAlignment="1">
      <alignment wrapText="1"/>
    </xf>
    <xf numFmtId="49" fontId="30" fillId="0" borderId="0" xfId="0" applyNumberFormat="1" applyFont="1"/>
    <xf numFmtId="0" fontId="33" fillId="0" borderId="0" xfId="0" applyFont="1"/>
    <xf numFmtId="0" fontId="36" fillId="16" borderId="15" xfId="0" applyFont="1" applyFill="1" applyBorder="1"/>
    <xf numFmtId="0" fontId="37" fillId="17" borderId="15" xfId="0" applyFont="1" applyFill="1" applyBorder="1"/>
    <xf numFmtId="0" fontId="38" fillId="16" borderId="0" xfId="0" applyFont="1" applyFill="1"/>
    <xf numFmtId="0" fontId="38" fillId="17" borderId="0" xfId="0" applyFont="1" applyFill="1"/>
    <xf numFmtId="0" fontId="32" fillId="17" borderId="0" xfId="0" applyFont="1" applyFill="1"/>
    <xf numFmtId="0" fontId="39" fillId="0" borderId="1" xfId="0" applyFont="1" applyBorder="1" applyAlignment="1">
      <alignment vertical="top" wrapText="1"/>
    </xf>
    <xf numFmtId="0" fontId="5" fillId="15" borderId="0" xfId="0" applyFont="1" applyFill="1" applyAlignment="1">
      <alignment vertical="top" wrapText="1"/>
    </xf>
    <xf numFmtId="0" fontId="28" fillId="0" borderId="0" xfId="1" applyFill="1"/>
    <xf numFmtId="0" fontId="0" fillId="15" borderId="0" xfId="0" applyFill="1" applyAlignment="1">
      <alignment vertical="top" wrapText="1"/>
    </xf>
    <xf numFmtId="0" fontId="9" fillId="15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42" fillId="0" borderId="0" xfId="0" applyFont="1"/>
    <xf numFmtId="0" fontId="44" fillId="22" borderId="0" xfId="0" applyFont="1" applyFill="1" applyAlignment="1">
      <alignment horizontal="left" vertical="center" wrapText="1"/>
    </xf>
    <xf numFmtId="0" fontId="46" fillId="23" borderId="0" xfId="0" applyFont="1" applyFill="1" applyAlignment="1">
      <alignment horizontal="left" vertical="center" wrapText="1"/>
    </xf>
    <xf numFmtId="0" fontId="47" fillId="21" borderId="0" xfId="0" applyFont="1" applyFill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43" fillId="23" borderId="0" xfId="0" applyFont="1" applyFill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48" fillId="21" borderId="16" xfId="0" applyFont="1" applyFill="1" applyBorder="1"/>
    <xf numFmtId="0" fontId="48" fillId="21" borderId="17" xfId="0" applyFont="1" applyFill="1" applyBorder="1"/>
    <xf numFmtId="20" fontId="49" fillId="0" borderId="18" xfId="0" applyNumberFormat="1" applyFont="1" applyBorder="1" applyAlignment="1">
      <alignment horizontal="left" vertical="center" wrapText="1"/>
    </xf>
    <xf numFmtId="0" fontId="50" fillId="0" borderId="16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left" vertical="center" wrapText="1"/>
    </xf>
    <xf numFmtId="0" fontId="50" fillId="0" borderId="20" xfId="0" applyFont="1" applyBorder="1" applyAlignment="1">
      <alignment vertical="center"/>
    </xf>
    <xf numFmtId="0" fontId="50" fillId="0" borderId="20" xfId="0" applyFont="1" applyBorder="1" applyAlignment="1">
      <alignment vertical="center" wrapText="1"/>
    </xf>
    <xf numFmtId="0" fontId="42" fillId="0" borderId="21" xfId="0" applyFont="1" applyBorder="1"/>
    <xf numFmtId="0" fontId="42" fillId="0" borderId="16" xfId="0" applyFont="1" applyBorder="1"/>
    <xf numFmtId="0" fontId="50" fillId="11" borderId="16" xfId="0" applyFont="1" applyFill="1" applyBorder="1" applyAlignment="1">
      <alignment vertical="top"/>
    </xf>
    <xf numFmtId="0" fontId="50" fillId="0" borderId="16" xfId="0" applyFont="1" applyBorder="1" applyAlignment="1">
      <alignment vertical="top"/>
    </xf>
    <xf numFmtId="0" fontId="49" fillId="0" borderId="22" xfId="0" applyFont="1" applyBorder="1" applyAlignment="1">
      <alignment horizontal="left" vertical="center" wrapText="1"/>
    </xf>
    <xf numFmtId="0" fontId="50" fillId="0" borderId="23" xfId="0" applyFont="1" applyBorder="1" applyAlignment="1">
      <alignment vertical="center"/>
    </xf>
    <xf numFmtId="0" fontId="50" fillId="0" borderId="23" xfId="0" applyFont="1" applyBorder="1" applyAlignment="1">
      <alignment vertical="center" wrapText="1"/>
    </xf>
    <xf numFmtId="0" fontId="50" fillId="24" borderId="16" xfId="0" applyFont="1" applyFill="1" applyBorder="1" applyAlignment="1">
      <alignment horizontal="center" vertical="center" wrapText="1"/>
    </xf>
    <xf numFmtId="0" fontId="49" fillId="0" borderId="18" xfId="0" applyFont="1" applyBorder="1" applyAlignment="1">
      <alignment horizontal="left" vertical="center" wrapText="1"/>
    </xf>
    <xf numFmtId="0" fontId="50" fillId="25" borderId="16" xfId="0" applyFont="1" applyFill="1" applyBorder="1" applyAlignment="1">
      <alignment vertical="top"/>
    </xf>
    <xf numFmtId="0" fontId="53" fillId="0" borderId="16" xfId="0" applyFont="1" applyBorder="1" applyAlignment="1">
      <alignment horizontal="center" vertical="center" wrapText="1"/>
    </xf>
    <xf numFmtId="0" fontId="50" fillId="0" borderId="16" xfId="0" applyFont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0" fontId="54" fillId="0" borderId="0" xfId="0" applyFont="1"/>
    <xf numFmtId="0" fontId="50" fillId="0" borderId="16" xfId="0" applyFont="1" applyBorder="1"/>
    <xf numFmtId="0" fontId="50" fillId="26" borderId="16" xfId="0" applyFont="1" applyFill="1" applyBorder="1"/>
    <xf numFmtId="0" fontId="50" fillId="26" borderId="16" xfId="0" applyFont="1" applyFill="1" applyBorder="1" applyAlignment="1">
      <alignment vertical="top"/>
    </xf>
    <xf numFmtId="0" fontId="50" fillId="15" borderId="16" xfId="0" applyFont="1" applyFill="1" applyBorder="1" applyAlignment="1">
      <alignment horizontal="center" vertical="center" wrapText="1"/>
    </xf>
    <xf numFmtId="0" fontId="42" fillId="15" borderId="16" xfId="0" applyFont="1" applyFill="1" applyBorder="1"/>
    <xf numFmtId="0" fontId="51" fillId="15" borderId="16" xfId="0" applyFont="1" applyFill="1" applyBorder="1" applyAlignment="1">
      <alignment horizontal="center" vertical="center" wrapText="1"/>
    </xf>
    <xf numFmtId="0" fontId="50" fillId="15" borderId="20" xfId="0" applyFont="1" applyFill="1" applyBorder="1" applyAlignment="1">
      <alignment vertical="center"/>
    </xf>
    <xf numFmtId="0" fontId="50" fillId="15" borderId="23" xfId="0" applyFont="1" applyFill="1" applyBorder="1" applyAlignment="1">
      <alignment vertical="center"/>
    </xf>
    <xf numFmtId="0" fontId="52" fillId="15" borderId="20" xfId="0" applyFont="1" applyFill="1" applyBorder="1" applyAlignment="1">
      <alignment vertical="center" wrapText="1"/>
    </xf>
    <xf numFmtId="0" fontId="52" fillId="15" borderId="23" xfId="0" applyFont="1" applyFill="1" applyBorder="1" applyAlignment="1">
      <alignment vertical="center" wrapText="1"/>
    </xf>
    <xf numFmtId="0" fontId="50" fillId="15" borderId="20" xfId="0" applyFont="1" applyFill="1" applyBorder="1" applyAlignment="1">
      <alignment vertical="center" wrapText="1"/>
    </xf>
    <xf numFmtId="0" fontId="50" fillId="15" borderId="23" xfId="0" applyFont="1" applyFill="1" applyBorder="1" applyAlignment="1">
      <alignment vertical="center" wrapText="1"/>
    </xf>
    <xf numFmtId="0" fontId="50" fillId="15" borderId="17" xfId="0" applyFont="1" applyFill="1" applyBorder="1" applyAlignment="1">
      <alignment vertical="center" wrapText="1"/>
    </xf>
    <xf numFmtId="0" fontId="50" fillId="15" borderId="17" xfId="0" applyFont="1" applyFill="1" applyBorder="1" applyAlignment="1">
      <alignment vertical="center"/>
    </xf>
    <xf numFmtId="0" fontId="50" fillId="15" borderId="16" xfId="0" applyFont="1" applyFill="1" applyBorder="1" applyAlignment="1">
      <alignment horizontal="center" vertical="center"/>
    </xf>
    <xf numFmtId="0" fontId="48" fillId="21" borderId="0" xfId="0" applyFont="1" applyFill="1"/>
    <xf numFmtId="0" fontId="57" fillId="22" borderId="0" xfId="0" applyFont="1" applyFill="1" applyAlignment="1">
      <alignment horizontal="left" vertical="center" wrapText="1"/>
    </xf>
    <xf numFmtId="0" fontId="57" fillId="0" borderId="0" xfId="0" applyFont="1" applyAlignment="1">
      <alignment horizontal="left" vertical="center" wrapText="1"/>
    </xf>
    <xf numFmtId="0" fontId="50" fillId="0" borderId="17" xfId="0" applyFont="1" applyBorder="1" applyAlignment="1">
      <alignment vertical="center" wrapText="1"/>
    </xf>
    <xf numFmtId="0" fontId="0" fillId="0" borderId="20" xfId="0" applyBorder="1"/>
    <xf numFmtId="0" fontId="50" fillId="0" borderId="19" xfId="0" applyFont="1" applyBorder="1" applyAlignment="1">
      <alignment horizontal="left" vertical="center" wrapText="1"/>
    </xf>
    <xf numFmtId="0" fontId="50" fillId="0" borderId="22" xfId="0" applyFont="1" applyBorder="1" applyAlignment="1">
      <alignment horizontal="left" vertical="center" wrapText="1"/>
    </xf>
    <xf numFmtId="0" fontId="50" fillId="0" borderId="18" xfId="0" applyFont="1" applyBorder="1" applyAlignment="1">
      <alignment horizontal="left" vertical="center" wrapText="1"/>
    </xf>
    <xf numFmtId="0" fontId="58" fillId="0" borderId="0" xfId="0" applyFont="1"/>
    <xf numFmtId="0" fontId="56" fillId="0" borderId="23" xfId="0" applyFont="1" applyBorder="1" applyAlignment="1">
      <alignment vertical="center" wrapText="1"/>
    </xf>
    <xf numFmtId="0" fontId="56" fillId="0" borderId="20" xfId="0" applyFont="1" applyBorder="1" applyAlignment="1">
      <alignment wrapText="1"/>
    </xf>
    <xf numFmtId="0" fontId="27" fillId="16" borderId="0" xfId="0" applyFont="1" applyFill="1"/>
    <xf numFmtId="0" fontId="27" fillId="17" borderId="0" xfId="0" applyFont="1" applyFill="1"/>
    <xf numFmtId="0" fontId="0" fillId="17" borderId="0" xfId="0" applyFill="1"/>
    <xf numFmtId="0" fontId="27" fillId="27" borderId="0" xfId="0" applyFont="1" applyFill="1"/>
    <xf numFmtId="0" fontId="27" fillId="28" borderId="0" xfId="0" applyFont="1" applyFill="1"/>
    <xf numFmtId="0" fontId="60" fillId="27" borderId="26" xfId="0" applyFont="1" applyFill="1" applyBorder="1"/>
    <xf numFmtId="0" fontId="60" fillId="28" borderId="26" xfId="0" applyFont="1" applyFill="1" applyBorder="1"/>
    <xf numFmtId="0" fontId="39" fillId="11" borderId="1" xfId="0" applyFont="1" applyFill="1" applyBorder="1" applyAlignment="1">
      <alignment vertical="top"/>
    </xf>
    <xf numFmtId="0" fontId="39" fillId="0" borderId="1" xfId="0" applyFont="1" applyBorder="1" applyAlignment="1">
      <alignment vertical="top"/>
    </xf>
    <xf numFmtId="0" fontId="5" fillId="11" borderId="1" xfId="0" applyFont="1" applyFill="1" applyBorder="1" applyAlignment="1">
      <alignment vertical="top" wrapText="1"/>
    </xf>
    <xf numFmtId="0" fontId="1" fillId="28" borderId="0" xfId="0" applyFont="1" applyFill="1"/>
    <xf numFmtId="0" fontId="1" fillId="27" borderId="0" xfId="0" applyFont="1" applyFill="1"/>
    <xf numFmtId="0" fontId="1" fillId="0" borderId="0" xfId="0" applyFont="1"/>
    <xf numFmtId="0" fontId="25" fillId="16" borderId="26" xfId="0" applyFont="1" applyFill="1" applyBorder="1"/>
    <xf numFmtId="0" fontId="26" fillId="17" borderId="26" xfId="0" applyFont="1" applyFill="1" applyBorder="1"/>
    <xf numFmtId="0" fontId="53" fillId="30" borderId="22" xfId="0" applyFont="1" applyFill="1" applyBorder="1" applyAlignment="1">
      <alignment horizontal="left" vertical="center" wrapText="1"/>
    </xf>
    <xf numFmtId="0" fontId="67" fillId="11" borderId="16" xfId="0" applyFont="1" applyFill="1" applyBorder="1" applyAlignment="1">
      <alignment vertical="top"/>
    </xf>
    <xf numFmtId="0" fontId="67" fillId="0" borderId="16" xfId="0" applyFont="1" applyBorder="1"/>
    <xf numFmtId="0" fontId="67" fillId="11" borderId="17" xfId="0" applyFont="1" applyFill="1" applyBorder="1" applyAlignment="1">
      <alignment vertical="top"/>
    </xf>
    <xf numFmtId="0" fontId="50" fillId="30" borderId="19" xfId="0" applyFont="1" applyFill="1" applyBorder="1" applyAlignment="1">
      <alignment horizontal="left" vertical="center" wrapText="1"/>
    </xf>
    <xf numFmtId="0" fontId="67" fillId="0" borderId="19" xfId="0" applyFont="1" applyBorder="1" applyAlignment="1">
      <alignment horizontal="left" vertical="center" wrapText="1"/>
    </xf>
    <xf numFmtId="0" fontId="67" fillId="0" borderId="22" xfId="0" applyFont="1" applyBorder="1" applyAlignment="1">
      <alignment horizontal="left" vertical="center" wrapText="1"/>
    </xf>
    <xf numFmtId="0" fontId="67" fillId="0" borderId="18" xfId="0" applyFont="1" applyBorder="1" applyAlignment="1">
      <alignment horizontal="left" vertical="center" wrapText="1"/>
    </xf>
    <xf numFmtId="0" fontId="68" fillId="0" borderId="0" xfId="0" applyFont="1"/>
    <xf numFmtId="0" fontId="63" fillId="0" borderId="1" xfId="0" applyFont="1" applyBorder="1" applyAlignment="1">
      <alignment vertical="top" wrapText="1"/>
    </xf>
    <xf numFmtId="0" fontId="39" fillId="15" borderId="1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2" fillId="6" borderId="9" xfId="0" applyFont="1" applyFill="1" applyBorder="1" applyAlignment="1">
      <alignment vertical="center" wrapText="1"/>
    </xf>
    <xf numFmtId="0" fontId="2" fillId="6" borderId="10" xfId="0" applyFont="1" applyFill="1" applyBorder="1" applyAlignment="1">
      <alignment vertical="center" wrapText="1"/>
    </xf>
    <xf numFmtId="0" fontId="10" fillId="9" borderId="9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3" fillId="12" borderId="9" xfId="0" applyFont="1" applyFill="1" applyBorder="1" applyAlignment="1">
      <alignment vertical="center" wrapText="1"/>
    </xf>
    <xf numFmtId="0" fontId="3" fillId="12" borderId="10" xfId="0" applyFont="1" applyFill="1" applyBorder="1" applyAlignment="1">
      <alignment vertical="center" wrapText="1"/>
    </xf>
    <xf numFmtId="0" fontId="3" fillId="12" borderId="11" xfId="0" applyFont="1" applyFill="1" applyBorder="1" applyAlignment="1">
      <alignment vertical="center" wrapText="1"/>
    </xf>
    <xf numFmtId="0" fontId="61" fillId="29" borderId="0" xfId="0" applyFont="1" applyFill="1" applyAlignment="1">
      <alignment horizontal="center"/>
    </xf>
    <xf numFmtId="0" fontId="62" fillId="29" borderId="0" xfId="0" applyFont="1" applyFill="1" applyAlignment="1">
      <alignment horizontal="center"/>
    </xf>
    <xf numFmtId="0" fontId="29" fillId="18" borderId="0" xfId="0" applyFont="1" applyFill="1" applyAlignment="1">
      <alignment horizontal="center"/>
    </xf>
    <xf numFmtId="0" fontId="30" fillId="17" borderId="0" xfId="0" applyFont="1" applyFill="1" applyAlignment="1">
      <alignment horizontal="left" wrapText="1"/>
    </xf>
    <xf numFmtId="0" fontId="56" fillId="0" borderId="20" xfId="0" applyFont="1" applyBorder="1" applyAlignment="1">
      <alignment horizontal="center" vertical="center" wrapText="1"/>
    </xf>
    <xf numFmtId="0" fontId="56" fillId="0" borderId="23" xfId="0" applyFont="1" applyBorder="1" applyAlignment="1">
      <alignment horizontal="center" vertical="center" wrapText="1"/>
    </xf>
    <xf numFmtId="0" fontId="56" fillId="0" borderId="20" xfId="0" applyFont="1" applyBorder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69" fillId="0" borderId="20" xfId="0" applyFont="1" applyBorder="1" applyAlignment="1">
      <alignment horizontal="center" vertical="center"/>
    </xf>
    <xf numFmtId="0" fontId="69" fillId="0" borderId="23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50" fillId="0" borderId="20" xfId="0" applyFont="1" applyBorder="1" applyAlignment="1">
      <alignment horizontal="center" vertical="center" wrapText="1"/>
    </xf>
    <xf numFmtId="0" fontId="50" fillId="0" borderId="23" xfId="0" applyFont="1" applyBorder="1" applyAlignment="1">
      <alignment horizontal="center" vertical="center" wrapText="1"/>
    </xf>
    <xf numFmtId="0" fontId="50" fillId="0" borderId="20" xfId="0" applyFont="1" applyBorder="1" applyAlignment="1">
      <alignment horizontal="center" vertical="center"/>
    </xf>
    <xf numFmtId="0" fontId="50" fillId="0" borderId="23" xfId="0" applyFont="1" applyBorder="1" applyAlignment="1">
      <alignment horizontal="center" vertical="center"/>
    </xf>
    <xf numFmtId="0" fontId="56" fillId="0" borderId="25" xfId="0" applyFont="1" applyBorder="1" applyAlignment="1">
      <alignment horizontal="center" vertical="center"/>
    </xf>
    <xf numFmtId="0" fontId="56" fillId="0" borderId="27" xfId="0" applyFont="1" applyBorder="1" applyAlignment="1">
      <alignment horizontal="center" vertical="center"/>
    </xf>
    <xf numFmtId="0" fontId="59" fillId="17" borderId="24" xfId="0" applyFont="1" applyFill="1" applyBorder="1" applyAlignment="1">
      <alignment horizontal="center" vertical="center" wrapText="1"/>
    </xf>
    <xf numFmtId="0" fontId="59" fillId="17" borderId="25" xfId="0" applyFont="1" applyFill="1" applyBorder="1" applyAlignment="1">
      <alignment horizontal="center" vertical="center" wrapText="1"/>
    </xf>
    <xf numFmtId="0" fontId="55" fillId="0" borderId="20" xfId="0" applyFont="1" applyBorder="1" applyAlignment="1">
      <alignment horizontal="center" vertical="center" wrapText="1"/>
    </xf>
    <xf numFmtId="0" fontId="52" fillId="0" borderId="23" xfId="0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43" fillId="21" borderId="0" xfId="0" applyFont="1" applyFill="1" applyAlignment="1">
      <alignment horizontal="center"/>
    </xf>
    <xf numFmtId="0" fontId="45" fillId="22" borderId="0" xfId="0" applyFont="1" applyFill="1" applyAlignment="1">
      <alignment horizontal="center" vertical="center"/>
    </xf>
    <xf numFmtId="0" fontId="42" fillId="22" borderId="0" xfId="0" applyFont="1" applyFill="1" applyAlignment="1">
      <alignment horizontal="center"/>
    </xf>
    <xf numFmtId="0" fontId="56" fillId="17" borderId="20" xfId="0" applyFont="1" applyFill="1" applyBorder="1" applyAlignment="1">
      <alignment horizontal="center" vertical="center" wrapText="1"/>
    </xf>
    <xf numFmtId="0" fontId="56" fillId="17" borderId="17" xfId="0" applyFont="1" applyFill="1" applyBorder="1" applyAlignment="1">
      <alignment horizontal="center" vertical="center" wrapText="1"/>
    </xf>
    <xf numFmtId="0" fontId="56" fillId="17" borderId="23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41" fillId="21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BFB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florinpop17/app-ideas" TargetMode="External"/><Relationship Id="rId2" Type="http://schemas.openxmlformats.org/officeDocument/2006/relationships/hyperlink" Target="https://portfolio-madelelo.vercel.app/" TargetMode="External"/><Relationship Id="rId1" Type="http://schemas.openxmlformats.org/officeDocument/2006/relationships/hyperlink" Target="https://www.codewa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zoomScale="131" zoomScaleNormal="174" workbookViewId="0">
      <pane xSplit="2" ySplit="1" topLeftCell="G28" activePane="bottomRight" state="frozen"/>
      <selection pane="topRight" activeCell="C1" sqref="C1"/>
      <selection pane="bottomLeft" activeCell="A2" sqref="A2"/>
      <selection pane="bottomRight" activeCell="J38" sqref="J38"/>
    </sheetView>
  </sheetViews>
  <sheetFormatPr baseColWidth="10" defaultColWidth="8.83203125" defaultRowHeight="15" x14ac:dyDescent="0.2"/>
  <cols>
    <col min="1" max="1" width="13.33203125" style="19" customWidth="1"/>
    <col min="2" max="2" width="8.83203125" style="16"/>
    <col min="3" max="3" width="8.1640625" style="16" customWidth="1"/>
    <col min="4" max="4" width="3.1640625" style="26" customWidth="1"/>
    <col min="5" max="5" width="8" style="16" customWidth="1"/>
    <col min="6" max="6" width="33.83203125" style="16" customWidth="1"/>
    <col min="7" max="7" width="28.6640625" style="16" customWidth="1"/>
    <col min="8" max="8" width="31.33203125" style="16" customWidth="1"/>
    <col min="9" max="9" width="29.6640625" style="16" customWidth="1"/>
    <col min="10" max="12" width="27.83203125" style="16" customWidth="1"/>
    <col min="13" max="14" width="24.1640625" style="16" bestFit="1" customWidth="1"/>
  </cols>
  <sheetData>
    <row r="1" spans="1:14" ht="23" customHeight="1" x14ac:dyDescent="0.2">
      <c r="A1" s="17" t="s">
        <v>0</v>
      </c>
      <c r="B1" s="1" t="s">
        <v>1</v>
      </c>
      <c r="C1" s="157" t="s">
        <v>2</v>
      </c>
      <c r="D1" s="158"/>
      <c r="E1" s="158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49" customHeight="1" x14ac:dyDescent="0.2">
      <c r="A2" s="159" t="s">
        <v>12</v>
      </c>
      <c r="B2" s="2">
        <v>34</v>
      </c>
      <c r="C2" s="34">
        <v>45887</v>
      </c>
      <c r="D2" s="35" t="s">
        <v>13</v>
      </c>
      <c r="E2" s="34">
        <v>45891</v>
      </c>
      <c r="F2" s="28" t="s">
        <v>14</v>
      </c>
      <c r="G2" s="29"/>
      <c r="H2" s="28" t="s">
        <v>15</v>
      </c>
      <c r="I2" s="29"/>
      <c r="J2" s="29"/>
      <c r="K2" s="29"/>
      <c r="L2" s="29"/>
      <c r="M2" s="29" t="s">
        <v>16</v>
      </c>
      <c r="N2" s="29" t="s">
        <v>17</v>
      </c>
    </row>
    <row r="3" spans="1:14" ht="27" x14ac:dyDescent="0.2">
      <c r="A3" s="160"/>
      <c r="B3" s="2">
        <v>35</v>
      </c>
      <c r="C3" s="34">
        <v>45894</v>
      </c>
      <c r="D3" s="35" t="s">
        <v>13</v>
      </c>
      <c r="E3" s="34">
        <v>45898</v>
      </c>
      <c r="F3" s="3" t="s">
        <v>18</v>
      </c>
      <c r="G3" s="3"/>
      <c r="H3" s="3" t="s">
        <v>19</v>
      </c>
      <c r="I3" s="3"/>
      <c r="J3" s="3"/>
      <c r="K3" s="3"/>
      <c r="L3" s="3"/>
      <c r="M3" s="3"/>
      <c r="N3" s="3" t="s">
        <v>20</v>
      </c>
    </row>
    <row r="4" spans="1:14" ht="29" x14ac:dyDescent="0.2">
      <c r="A4" s="160"/>
      <c r="B4" s="2">
        <v>36</v>
      </c>
      <c r="C4" s="34">
        <v>45901</v>
      </c>
      <c r="D4" s="35" t="s">
        <v>13</v>
      </c>
      <c r="E4" s="34">
        <v>45905</v>
      </c>
      <c r="F4" s="29" t="s">
        <v>21</v>
      </c>
      <c r="G4" s="29" t="s">
        <v>22</v>
      </c>
      <c r="H4" s="29" t="s">
        <v>23</v>
      </c>
      <c r="I4" s="28" t="s">
        <v>24</v>
      </c>
      <c r="J4" s="28" t="s">
        <v>25</v>
      </c>
      <c r="K4" s="28" t="s">
        <v>26</v>
      </c>
      <c r="L4" s="28" t="s">
        <v>27</v>
      </c>
      <c r="M4" s="29"/>
      <c r="N4" s="29" t="s">
        <v>20</v>
      </c>
    </row>
    <row r="5" spans="1:14" ht="34" x14ac:dyDescent="0.2">
      <c r="A5" s="160"/>
      <c r="B5" s="2">
        <v>37</v>
      </c>
      <c r="C5" s="34">
        <v>45908</v>
      </c>
      <c r="D5" s="35" t="s">
        <v>13</v>
      </c>
      <c r="E5" s="34">
        <v>45912</v>
      </c>
      <c r="F5" s="3" t="s">
        <v>28</v>
      </c>
      <c r="G5" s="3"/>
      <c r="H5" s="4" t="s">
        <v>29</v>
      </c>
      <c r="I5" s="4" t="s">
        <v>30</v>
      </c>
      <c r="J5" s="4" t="s">
        <v>31</v>
      </c>
      <c r="K5" s="4" t="s">
        <v>32</v>
      </c>
      <c r="L5" s="4" t="s">
        <v>33</v>
      </c>
      <c r="M5" s="3"/>
      <c r="N5" s="4" t="s">
        <v>34</v>
      </c>
    </row>
    <row r="6" spans="1:14" ht="34" x14ac:dyDescent="0.2">
      <c r="A6" s="160"/>
      <c r="B6" s="2">
        <v>38</v>
      </c>
      <c r="C6" s="34">
        <v>45915</v>
      </c>
      <c r="D6" s="35" t="s">
        <v>13</v>
      </c>
      <c r="E6" s="34">
        <v>45919</v>
      </c>
      <c r="F6" s="29"/>
      <c r="G6" s="29"/>
      <c r="H6" s="29" t="s">
        <v>23</v>
      </c>
      <c r="I6" s="28" t="s">
        <v>35</v>
      </c>
      <c r="J6" s="28" t="s">
        <v>36</v>
      </c>
      <c r="K6" s="28" t="s">
        <v>37</v>
      </c>
      <c r="L6" s="28" t="s">
        <v>38</v>
      </c>
      <c r="M6" s="29"/>
      <c r="N6" s="28" t="s">
        <v>39</v>
      </c>
    </row>
    <row r="7" spans="1:14" ht="34" x14ac:dyDescent="0.2">
      <c r="A7" s="160"/>
      <c r="B7" s="2">
        <v>39</v>
      </c>
      <c r="C7" s="34">
        <v>45922</v>
      </c>
      <c r="D7" s="35" t="s">
        <v>13</v>
      </c>
      <c r="E7" s="34">
        <v>45926</v>
      </c>
      <c r="F7" s="4" t="s">
        <v>40</v>
      </c>
      <c r="G7" s="3"/>
      <c r="H7" s="4" t="s">
        <v>41</v>
      </c>
      <c r="I7" s="4" t="s">
        <v>42</v>
      </c>
      <c r="J7" s="69" t="s">
        <v>43</v>
      </c>
      <c r="K7" s="4" t="s">
        <v>44</v>
      </c>
      <c r="L7" s="4" t="s">
        <v>45</v>
      </c>
      <c r="M7" s="3"/>
      <c r="N7" s="4" t="s">
        <v>46</v>
      </c>
    </row>
    <row r="8" spans="1:14" ht="27" x14ac:dyDescent="0.2">
      <c r="A8" s="160"/>
      <c r="B8" s="5">
        <v>40</v>
      </c>
      <c r="C8" s="36">
        <v>45929</v>
      </c>
      <c r="D8" s="37" t="s">
        <v>13</v>
      </c>
      <c r="E8" s="38">
        <v>45933</v>
      </c>
      <c r="F8" s="33" t="s">
        <v>47</v>
      </c>
      <c r="G8" s="7"/>
      <c r="H8" s="33" t="s">
        <v>47</v>
      </c>
      <c r="I8" s="33" t="s">
        <v>47</v>
      </c>
      <c r="J8" s="33" t="s">
        <v>47</v>
      </c>
      <c r="K8" s="33" t="s">
        <v>47</v>
      </c>
      <c r="L8" s="33" t="s">
        <v>47</v>
      </c>
      <c r="M8" s="7"/>
      <c r="N8" s="33" t="s">
        <v>47</v>
      </c>
    </row>
    <row r="9" spans="1:14" ht="51" x14ac:dyDescent="0.2">
      <c r="A9" s="161" t="s">
        <v>48</v>
      </c>
      <c r="B9" s="2">
        <v>41</v>
      </c>
      <c r="C9" s="39">
        <v>45936</v>
      </c>
      <c r="D9" s="35" t="s">
        <v>13</v>
      </c>
      <c r="E9" s="40">
        <v>45940</v>
      </c>
      <c r="F9" s="8" t="s">
        <v>49</v>
      </c>
      <c r="G9" s="8" t="s">
        <v>50</v>
      </c>
      <c r="H9" s="8" t="s">
        <v>50</v>
      </c>
      <c r="I9" s="8" t="s">
        <v>51</v>
      </c>
      <c r="J9" s="8" t="s">
        <v>51</v>
      </c>
      <c r="K9" s="8"/>
      <c r="L9" s="8" t="s">
        <v>51</v>
      </c>
      <c r="M9" s="8" t="s">
        <v>51</v>
      </c>
      <c r="N9" s="8" t="s">
        <v>51</v>
      </c>
    </row>
    <row r="10" spans="1:14" ht="55" customHeight="1" x14ac:dyDescent="0.2">
      <c r="A10" s="162"/>
      <c r="B10" s="2">
        <v>42</v>
      </c>
      <c r="C10" s="39">
        <v>45943</v>
      </c>
      <c r="D10" s="35" t="s">
        <v>13</v>
      </c>
      <c r="E10" s="40">
        <v>45947</v>
      </c>
      <c r="F10" s="3"/>
      <c r="G10" s="3" t="s">
        <v>52</v>
      </c>
      <c r="H10" s="3" t="s">
        <v>23</v>
      </c>
      <c r="I10" s="4" t="s">
        <v>53</v>
      </c>
      <c r="J10" s="4" t="s">
        <v>54</v>
      </c>
      <c r="K10" s="4"/>
      <c r="L10" s="4" t="s">
        <v>55</v>
      </c>
      <c r="M10" s="3"/>
      <c r="N10" s="3"/>
    </row>
    <row r="11" spans="1:14" ht="34" x14ac:dyDescent="0.2">
      <c r="A11" s="162"/>
      <c r="B11" s="2">
        <v>43</v>
      </c>
      <c r="C11" s="39">
        <v>45950</v>
      </c>
      <c r="D11" s="35" t="s">
        <v>13</v>
      </c>
      <c r="E11" s="40">
        <v>45955</v>
      </c>
      <c r="F11" s="28" t="s">
        <v>56</v>
      </c>
      <c r="G11" s="29"/>
      <c r="H11" s="70" t="s">
        <v>57</v>
      </c>
      <c r="I11" s="30" t="s">
        <v>58</v>
      </c>
      <c r="J11" s="30" t="s">
        <v>58</v>
      </c>
      <c r="K11" s="30"/>
      <c r="L11" s="30" t="s">
        <v>58</v>
      </c>
      <c r="M11" s="31"/>
      <c r="N11" s="31"/>
    </row>
    <row r="12" spans="1:14" ht="34" x14ac:dyDescent="0.2">
      <c r="A12" s="162"/>
      <c r="B12" s="2">
        <v>44</v>
      </c>
      <c r="C12" s="39">
        <v>45957</v>
      </c>
      <c r="D12" s="35" t="s">
        <v>13</v>
      </c>
      <c r="E12" s="40">
        <v>45961</v>
      </c>
      <c r="F12" s="9" t="s">
        <v>59</v>
      </c>
      <c r="G12" s="3"/>
      <c r="H12" s="27" t="s">
        <v>60</v>
      </c>
      <c r="I12" s="3"/>
    </row>
    <row r="13" spans="1:14" ht="32" x14ac:dyDescent="0.2">
      <c r="A13" s="162"/>
      <c r="B13" s="2">
        <v>45</v>
      </c>
      <c r="C13" s="39">
        <v>45964</v>
      </c>
      <c r="D13" s="35" t="s">
        <v>13</v>
      </c>
      <c r="E13" s="40">
        <v>45968</v>
      </c>
      <c r="F13" s="28"/>
      <c r="G13" s="72" t="s">
        <v>61</v>
      </c>
      <c r="H13" s="29" t="s">
        <v>23</v>
      </c>
      <c r="I13" s="53" t="s">
        <v>62</v>
      </c>
      <c r="J13" s="28" t="s">
        <v>63</v>
      </c>
      <c r="K13" s="28" t="s">
        <v>64</v>
      </c>
      <c r="L13" s="28" t="s">
        <v>65</v>
      </c>
      <c r="M13" s="32"/>
      <c r="N13" s="32"/>
    </row>
    <row r="14" spans="1:14" ht="27" x14ac:dyDescent="0.2">
      <c r="A14" s="162"/>
      <c r="B14" s="2">
        <v>46</v>
      </c>
      <c r="C14" s="39">
        <v>45971</v>
      </c>
      <c r="D14" s="35" t="s">
        <v>13</v>
      </c>
      <c r="E14" s="40">
        <v>45975</v>
      </c>
      <c r="F14" s="3" t="s">
        <v>66</v>
      </c>
      <c r="G14" s="25"/>
      <c r="H14" s="23" t="s">
        <v>67</v>
      </c>
      <c r="I14" s="23" t="s">
        <v>67</v>
      </c>
      <c r="J14" s="23" t="s">
        <v>67</v>
      </c>
      <c r="K14" s="23" t="s">
        <v>67</v>
      </c>
      <c r="L14" s="23" t="s">
        <v>67</v>
      </c>
      <c r="M14" s="10"/>
      <c r="N14" s="10"/>
    </row>
    <row r="15" spans="1:14" ht="27" x14ac:dyDescent="0.2">
      <c r="A15" s="162"/>
      <c r="B15" s="2">
        <v>47</v>
      </c>
      <c r="C15" s="39">
        <v>45978</v>
      </c>
      <c r="D15" s="35" t="s">
        <v>13</v>
      </c>
      <c r="E15" s="40">
        <v>45982</v>
      </c>
      <c r="F15" s="29"/>
      <c r="G15" s="29"/>
      <c r="H15" s="29" t="s">
        <v>68</v>
      </c>
      <c r="I15" s="29" t="s">
        <v>69</v>
      </c>
      <c r="J15" s="29" t="s">
        <v>68</v>
      </c>
      <c r="K15" s="29" t="s">
        <v>68</v>
      </c>
      <c r="L15" s="29" t="s">
        <v>68</v>
      </c>
      <c r="M15" s="32"/>
      <c r="N15" s="32"/>
    </row>
    <row r="16" spans="1:14" ht="27" x14ac:dyDescent="0.2">
      <c r="A16" s="162"/>
      <c r="B16" s="2">
        <v>48</v>
      </c>
      <c r="C16" s="39">
        <v>45986</v>
      </c>
      <c r="D16" s="35" t="s">
        <v>13</v>
      </c>
      <c r="E16" s="40">
        <v>45989</v>
      </c>
      <c r="F16" s="3" t="s">
        <v>70</v>
      </c>
      <c r="G16" s="3"/>
      <c r="H16" s="3" t="s">
        <v>71</v>
      </c>
      <c r="I16" s="3" t="s">
        <v>72</v>
      </c>
      <c r="J16" s="3" t="s">
        <v>73</v>
      </c>
      <c r="K16" s="3" t="s">
        <v>71</v>
      </c>
      <c r="L16" s="3" t="s">
        <v>71</v>
      </c>
      <c r="M16" s="3"/>
      <c r="N16" s="3"/>
    </row>
    <row r="17" spans="1:14" ht="51" x14ac:dyDescent="0.2">
      <c r="A17" s="162"/>
      <c r="B17" s="2">
        <v>49</v>
      </c>
      <c r="C17" s="39">
        <v>45992</v>
      </c>
      <c r="D17" s="35" t="s">
        <v>13</v>
      </c>
      <c r="E17" s="40">
        <v>45996</v>
      </c>
      <c r="F17" s="73" t="s">
        <v>74</v>
      </c>
      <c r="G17" s="29"/>
      <c r="H17" s="29" t="s">
        <v>75</v>
      </c>
      <c r="I17" s="29" t="s">
        <v>75</v>
      </c>
      <c r="J17" s="29" t="s">
        <v>75</v>
      </c>
      <c r="K17" s="29" t="s">
        <v>75</v>
      </c>
      <c r="L17" s="29" t="s">
        <v>75</v>
      </c>
      <c r="M17" s="29"/>
      <c r="N17" s="29"/>
    </row>
    <row r="18" spans="1:14" ht="27" x14ac:dyDescent="0.2">
      <c r="A18" s="162"/>
      <c r="B18" s="2">
        <v>50</v>
      </c>
      <c r="C18" s="39">
        <v>45999</v>
      </c>
      <c r="D18" s="35" t="s">
        <v>13</v>
      </c>
      <c r="E18" s="40">
        <v>46003</v>
      </c>
      <c r="G18" s="3"/>
      <c r="H18" s="3" t="s">
        <v>76</v>
      </c>
      <c r="I18" s="3" t="s">
        <v>76</v>
      </c>
      <c r="J18" s="3" t="s">
        <v>76</v>
      </c>
      <c r="K18" s="3" t="s">
        <v>76</v>
      </c>
      <c r="L18" s="3" t="s">
        <v>76</v>
      </c>
      <c r="M18" s="3"/>
      <c r="N18" s="3"/>
    </row>
    <row r="19" spans="1:14" ht="68" x14ac:dyDescent="0.2">
      <c r="A19" s="162"/>
      <c r="B19" s="2">
        <v>51</v>
      </c>
      <c r="C19" s="39">
        <v>46006</v>
      </c>
      <c r="D19" s="35" t="s">
        <v>13</v>
      </c>
      <c r="E19" s="40">
        <v>46010</v>
      </c>
      <c r="F19" s="74" t="s">
        <v>77</v>
      </c>
      <c r="G19" s="11" t="s">
        <v>76</v>
      </c>
      <c r="H19" s="11" t="s">
        <v>76</v>
      </c>
      <c r="I19" s="11" t="s">
        <v>78</v>
      </c>
      <c r="J19" s="11" t="s">
        <v>78</v>
      </c>
      <c r="K19" s="11" t="s">
        <v>78</v>
      </c>
      <c r="L19" s="11" t="s">
        <v>78</v>
      </c>
      <c r="M19" s="11" t="s">
        <v>78</v>
      </c>
      <c r="N19" s="11" t="s">
        <v>78</v>
      </c>
    </row>
    <row r="20" spans="1:14" ht="27" x14ac:dyDescent="0.2">
      <c r="A20" s="162"/>
      <c r="B20" s="5">
        <v>52</v>
      </c>
      <c r="C20" s="41">
        <v>46013</v>
      </c>
      <c r="D20" s="42" t="s">
        <v>13</v>
      </c>
      <c r="E20" s="43">
        <v>46017</v>
      </c>
      <c r="F20" s="6" t="s">
        <v>79</v>
      </c>
      <c r="G20" s="7" t="s">
        <v>79</v>
      </c>
      <c r="H20" s="7" t="s">
        <v>79</v>
      </c>
      <c r="I20" s="7" t="s">
        <v>79</v>
      </c>
      <c r="J20" s="7" t="s">
        <v>79</v>
      </c>
      <c r="K20" s="7" t="s">
        <v>79</v>
      </c>
      <c r="L20" s="7" t="s">
        <v>79</v>
      </c>
      <c r="M20" s="7" t="s">
        <v>79</v>
      </c>
      <c r="N20" s="7" t="s">
        <v>79</v>
      </c>
    </row>
    <row r="21" spans="1:14" ht="27" x14ac:dyDescent="0.2">
      <c r="A21" s="163" t="s">
        <v>80</v>
      </c>
      <c r="B21" s="5">
        <v>1</v>
      </c>
      <c r="C21" s="41">
        <v>46020</v>
      </c>
      <c r="D21" s="42" t="s">
        <v>13</v>
      </c>
      <c r="E21" s="43">
        <v>46024</v>
      </c>
      <c r="F21" s="6" t="s">
        <v>79</v>
      </c>
      <c r="G21" s="7" t="s">
        <v>79</v>
      </c>
      <c r="H21" s="7" t="s">
        <v>79</v>
      </c>
      <c r="I21" s="7" t="s">
        <v>79</v>
      </c>
      <c r="J21" s="7" t="s">
        <v>79</v>
      </c>
      <c r="K21" s="7" t="s">
        <v>79</v>
      </c>
      <c r="L21" s="7" t="s">
        <v>79</v>
      </c>
      <c r="M21" s="7" t="s">
        <v>79</v>
      </c>
      <c r="N21" s="7" t="s">
        <v>79</v>
      </c>
    </row>
    <row r="22" spans="1:14" ht="51" x14ac:dyDescent="0.2">
      <c r="A22" s="164"/>
      <c r="B22" s="2">
        <v>2</v>
      </c>
      <c r="C22" s="39">
        <v>46027</v>
      </c>
      <c r="D22" s="35" t="s">
        <v>13</v>
      </c>
      <c r="E22" s="40">
        <v>46031</v>
      </c>
      <c r="F22" s="4" t="s">
        <v>257</v>
      </c>
      <c r="G22" s="3"/>
      <c r="H22" s="3" t="s">
        <v>81</v>
      </c>
      <c r="I22" s="155"/>
      <c r="J22" s="4" t="s">
        <v>259</v>
      </c>
      <c r="K22" s="4" t="s">
        <v>82</v>
      </c>
      <c r="L22" s="4" t="s">
        <v>83</v>
      </c>
      <c r="M22" s="3"/>
      <c r="N22" s="3"/>
    </row>
    <row r="23" spans="1:14" ht="55" customHeight="1" x14ac:dyDescent="0.2">
      <c r="A23" s="164"/>
      <c r="B23" s="2">
        <v>3</v>
      </c>
      <c r="C23" s="39">
        <v>46034</v>
      </c>
      <c r="D23" s="35" t="s">
        <v>13</v>
      </c>
      <c r="E23" s="40">
        <v>46038</v>
      </c>
      <c r="F23" s="28" t="s">
        <v>258</v>
      </c>
      <c r="G23" s="29" t="s">
        <v>84</v>
      </c>
      <c r="H23" s="29" t="s">
        <v>81</v>
      </c>
      <c r="I23" s="28"/>
      <c r="J23" s="28" t="s">
        <v>263</v>
      </c>
      <c r="K23" s="28" t="s">
        <v>253</v>
      </c>
      <c r="L23" s="28" t="s">
        <v>255</v>
      </c>
      <c r="M23" s="29"/>
      <c r="N23" s="29"/>
    </row>
    <row r="24" spans="1:14" ht="51" x14ac:dyDescent="0.2">
      <c r="A24" s="164"/>
      <c r="B24" s="2">
        <v>4</v>
      </c>
      <c r="C24" s="39">
        <v>46041</v>
      </c>
      <c r="D24" s="35" t="s">
        <v>13</v>
      </c>
      <c r="E24" s="40">
        <v>46045</v>
      </c>
      <c r="F24" s="4" t="s">
        <v>262</v>
      </c>
      <c r="G24" s="3"/>
      <c r="H24" s="3" t="s">
        <v>85</v>
      </c>
      <c r="I24" s="4" t="s">
        <v>260</v>
      </c>
      <c r="J24" s="4" t="s">
        <v>252</v>
      </c>
      <c r="K24" s="4" t="s">
        <v>254</v>
      </c>
      <c r="L24" s="4" t="s">
        <v>256</v>
      </c>
      <c r="M24" s="3"/>
      <c r="N24" s="3"/>
    </row>
    <row r="25" spans="1:14" ht="43" customHeight="1" x14ac:dyDescent="0.2">
      <c r="A25" s="164"/>
      <c r="B25" s="2">
        <v>5</v>
      </c>
      <c r="C25" s="39">
        <v>46048</v>
      </c>
      <c r="D25" s="35" t="s">
        <v>13</v>
      </c>
      <c r="E25" s="40">
        <v>46052</v>
      </c>
      <c r="F25" s="29"/>
      <c r="G25" s="29" t="s">
        <v>84</v>
      </c>
      <c r="H25" s="29" t="s">
        <v>85</v>
      </c>
      <c r="I25" s="28" t="s">
        <v>261</v>
      </c>
      <c r="J25" s="28" t="s">
        <v>86</v>
      </c>
      <c r="K25" s="28" t="s">
        <v>87</v>
      </c>
      <c r="L25" s="28" t="s">
        <v>88</v>
      </c>
      <c r="M25" s="29"/>
      <c r="N25" s="29"/>
    </row>
    <row r="26" spans="1:14" ht="34" x14ac:dyDescent="0.2">
      <c r="A26" s="164"/>
      <c r="B26" s="2">
        <v>6</v>
      </c>
      <c r="C26" s="39">
        <v>46055</v>
      </c>
      <c r="D26" s="35" t="s">
        <v>13</v>
      </c>
      <c r="E26" s="40">
        <v>46059</v>
      </c>
      <c r="F26" s="12"/>
      <c r="G26" s="12" t="s">
        <v>89</v>
      </c>
      <c r="H26" s="12"/>
      <c r="I26" s="22" t="s">
        <v>90</v>
      </c>
      <c r="J26" s="22" t="s">
        <v>91</v>
      </c>
      <c r="K26" s="22" t="s">
        <v>91</v>
      </c>
      <c r="L26" s="22" t="s">
        <v>90</v>
      </c>
      <c r="M26" s="22"/>
      <c r="N26" s="22" t="s">
        <v>92</v>
      </c>
    </row>
    <row r="27" spans="1:14" ht="27" x14ac:dyDescent="0.2">
      <c r="A27" s="164"/>
      <c r="B27" s="2">
        <v>7</v>
      </c>
      <c r="C27" s="39">
        <v>46062</v>
      </c>
      <c r="D27" s="35" t="s">
        <v>13</v>
      </c>
      <c r="E27" s="40">
        <v>46066</v>
      </c>
      <c r="F27" s="139" t="s">
        <v>93</v>
      </c>
      <c r="G27" s="3"/>
      <c r="H27" s="3" t="s">
        <v>94</v>
      </c>
      <c r="I27" s="3" t="s">
        <v>94</v>
      </c>
      <c r="J27" s="3" t="s">
        <v>94</v>
      </c>
      <c r="K27" s="3" t="s">
        <v>94</v>
      </c>
      <c r="L27" s="3" t="s">
        <v>94</v>
      </c>
      <c r="M27" s="3"/>
      <c r="N27" s="3"/>
    </row>
    <row r="28" spans="1:14" ht="27" x14ac:dyDescent="0.2">
      <c r="A28" s="164"/>
      <c r="B28" s="5">
        <v>8</v>
      </c>
      <c r="C28" s="41">
        <v>46069</v>
      </c>
      <c r="D28" s="42" t="s">
        <v>13</v>
      </c>
      <c r="E28" s="43">
        <v>46073</v>
      </c>
      <c r="F28" s="6" t="s">
        <v>95</v>
      </c>
      <c r="G28" s="7"/>
      <c r="H28" s="7"/>
      <c r="I28" s="7"/>
      <c r="J28" s="7"/>
      <c r="K28" s="7"/>
      <c r="L28" s="7"/>
      <c r="M28" s="7"/>
      <c r="N28" s="7"/>
    </row>
    <row r="29" spans="1:14" ht="27" x14ac:dyDescent="0.2">
      <c r="A29" s="164"/>
      <c r="B29" s="2">
        <v>9</v>
      </c>
      <c r="C29" s="39">
        <v>46076</v>
      </c>
      <c r="D29" s="35" t="s">
        <v>13</v>
      </c>
      <c r="E29" s="40">
        <v>46080</v>
      </c>
      <c r="F29" s="3"/>
      <c r="G29" s="3"/>
      <c r="H29" s="3" t="s">
        <v>96</v>
      </c>
      <c r="I29" s="3" t="s">
        <v>266</v>
      </c>
      <c r="J29" s="3" t="s">
        <v>96</v>
      </c>
      <c r="K29" s="3" t="s">
        <v>96</v>
      </c>
      <c r="L29" s="3" t="s">
        <v>265</v>
      </c>
      <c r="M29" s="3"/>
      <c r="N29" s="3"/>
    </row>
    <row r="30" spans="1:14" ht="68" x14ac:dyDescent="0.2">
      <c r="A30" s="164"/>
      <c r="B30" s="2">
        <v>10</v>
      </c>
      <c r="C30" s="39">
        <v>46083</v>
      </c>
      <c r="D30" s="35" t="s">
        <v>13</v>
      </c>
      <c r="E30" s="40">
        <v>46087</v>
      </c>
      <c r="F30" s="28" t="s">
        <v>264</v>
      </c>
      <c r="G30" s="29"/>
      <c r="H30" s="29" t="s">
        <v>97</v>
      </c>
      <c r="I30" s="156" t="s">
        <v>275</v>
      </c>
      <c r="K30" s="29" t="s">
        <v>268</v>
      </c>
      <c r="L30" s="28" t="s">
        <v>276</v>
      </c>
      <c r="M30" s="29"/>
      <c r="N30" s="29"/>
    </row>
    <row r="31" spans="1:14" ht="27" x14ac:dyDescent="0.2">
      <c r="A31" s="164"/>
      <c r="B31" s="2">
        <v>11</v>
      </c>
      <c r="C31" s="39">
        <v>46090</v>
      </c>
      <c r="D31" s="35" t="s">
        <v>13</v>
      </c>
      <c r="E31" s="40">
        <v>46094</v>
      </c>
      <c r="F31" s="13" t="s">
        <v>98</v>
      </c>
      <c r="H31" s="138" t="s">
        <v>99</v>
      </c>
      <c r="I31" s="138" t="s">
        <v>99</v>
      </c>
      <c r="J31" s="138" t="s">
        <v>99</v>
      </c>
      <c r="K31" s="138" t="s">
        <v>99</v>
      </c>
      <c r="L31" s="138" t="s">
        <v>99</v>
      </c>
      <c r="M31" s="3"/>
      <c r="N31" s="3"/>
    </row>
    <row r="32" spans="1:14" ht="27" x14ac:dyDescent="0.2">
      <c r="A32" s="164"/>
      <c r="B32" s="2">
        <v>12</v>
      </c>
      <c r="C32" s="39">
        <v>46097</v>
      </c>
      <c r="D32" s="35" t="s">
        <v>13</v>
      </c>
      <c r="E32" s="40">
        <v>46101</v>
      </c>
      <c r="F32" s="28" t="s">
        <v>267</v>
      </c>
      <c r="G32" s="29"/>
      <c r="H32" s="3" t="s">
        <v>97</v>
      </c>
      <c r="I32" s="3" t="s">
        <v>271</v>
      </c>
      <c r="J32" s="156" t="s">
        <v>277</v>
      </c>
      <c r="K32" s="3" t="s">
        <v>100</v>
      </c>
      <c r="L32" s="3" t="s">
        <v>269</v>
      </c>
      <c r="M32" s="29"/>
      <c r="N32" s="29"/>
    </row>
    <row r="33" spans="1:14" ht="58" customHeight="1" x14ac:dyDescent="0.2">
      <c r="A33" s="164"/>
      <c r="B33" s="2">
        <v>13</v>
      </c>
      <c r="C33" s="39">
        <v>46104</v>
      </c>
      <c r="D33" s="35" t="s">
        <v>13</v>
      </c>
      <c r="E33" s="40">
        <v>46108</v>
      </c>
      <c r="F33" s="140" t="s">
        <v>101</v>
      </c>
      <c r="H33" s="29" t="s">
        <v>97</v>
      </c>
      <c r="I33" s="28" t="s">
        <v>274</v>
      </c>
      <c r="K33" s="28" t="s">
        <v>273</v>
      </c>
      <c r="L33" s="29" t="s">
        <v>270</v>
      </c>
    </row>
    <row r="34" spans="1:14" ht="40" customHeight="1" x14ac:dyDescent="0.2">
      <c r="A34" s="165" t="s">
        <v>102</v>
      </c>
      <c r="B34" s="21">
        <v>14</v>
      </c>
      <c r="C34" s="44">
        <v>46111</v>
      </c>
      <c r="D34" s="45" t="s">
        <v>13</v>
      </c>
      <c r="E34" s="46">
        <v>46115</v>
      </c>
      <c r="F34" s="14" t="s">
        <v>103</v>
      </c>
      <c r="G34" s="7"/>
      <c r="H34" s="7"/>
      <c r="I34" s="7"/>
      <c r="J34" s="7"/>
      <c r="K34" s="7"/>
      <c r="L34" s="7"/>
      <c r="M34" s="7"/>
      <c r="N34" s="7"/>
    </row>
    <row r="35" spans="1:14" ht="50" customHeight="1" x14ac:dyDescent="0.2">
      <c r="A35" s="166"/>
      <c r="B35" s="2">
        <v>15</v>
      </c>
      <c r="C35" s="39">
        <v>46118</v>
      </c>
      <c r="D35" s="35" t="s">
        <v>13</v>
      </c>
      <c r="E35" s="40">
        <v>46122</v>
      </c>
      <c r="F35" s="3"/>
      <c r="G35" s="4" t="s">
        <v>104</v>
      </c>
      <c r="H35" s="3" t="s">
        <v>97</v>
      </c>
      <c r="I35" s="3"/>
      <c r="J35" s="29" t="s">
        <v>278</v>
      </c>
      <c r="K35" s="3" t="s">
        <v>105</v>
      </c>
      <c r="L35" s="3" t="s">
        <v>272</v>
      </c>
      <c r="M35" s="3"/>
      <c r="N35" s="3"/>
    </row>
    <row r="36" spans="1:14" ht="46" customHeight="1" x14ac:dyDescent="0.2">
      <c r="A36" s="166"/>
      <c r="B36" s="20">
        <v>16</v>
      </c>
      <c r="C36" s="47">
        <v>46125</v>
      </c>
      <c r="D36" s="48" t="s">
        <v>13</v>
      </c>
      <c r="E36" s="49">
        <v>46129</v>
      </c>
      <c r="F36" s="31"/>
      <c r="G36" s="31"/>
      <c r="H36" s="29" t="s">
        <v>97</v>
      </c>
      <c r="I36" s="31"/>
      <c r="J36" s="31"/>
      <c r="K36" s="31"/>
      <c r="L36" s="31"/>
      <c r="M36" s="31"/>
      <c r="N36" s="31"/>
    </row>
    <row r="37" spans="1:14" ht="27" x14ac:dyDescent="0.2">
      <c r="A37" s="166"/>
      <c r="B37" s="2">
        <v>17</v>
      </c>
      <c r="C37" s="39">
        <v>46132</v>
      </c>
      <c r="D37" s="35" t="s">
        <v>13</v>
      </c>
      <c r="E37" s="40">
        <v>46136</v>
      </c>
      <c r="F37" s="3"/>
      <c r="G37" s="3"/>
      <c r="H37" s="16" t="s">
        <v>106</v>
      </c>
      <c r="I37" s="3"/>
      <c r="J37" s="3"/>
      <c r="K37" s="3"/>
      <c r="L37" s="3"/>
      <c r="M37" s="3"/>
      <c r="N37" s="3"/>
    </row>
    <row r="38" spans="1:14" ht="51" x14ac:dyDescent="0.2">
      <c r="A38" s="166"/>
      <c r="B38" s="2">
        <v>18</v>
      </c>
      <c r="C38" s="39">
        <v>46139</v>
      </c>
      <c r="D38" s="35" t="s">
        <v>13</v>
      </c>
      <c r="E38" s="40">
        <v>46143</v>
      </c>
      <c r="F38" s="28" t="s">
        <v>107</v>
      </c>
      <c r="G38" s="29"/>
      <c r="H38" s="31" t="s">
        <v>106</v>
      </c>
      <c r="I38" s="29"/>
      <c r="J38" s="29"/>
      <c r="K38" s="29"/>
      <c r="L38" s="29"/>
      <c r="M38" s="29"/>
      <c r="N38" s="29"/>
    </row>
    <row r="39" spans="1:14" ht="27" x14ac:dyDescent="0.2">
      <c r="A39" s="166"/>
      <c r="B39" s="2">
        <v>19</v>
      </c>
      <c r="C39" s="39">
        <v>46146</v>
      </c>
      <c r="D39" s="35" t="s">
        <v>13</v>
      </c>
      <c r="E39" s="40">
        <v>46150</v>
      </c>
      <c r="F39" s="3"/>
      <c r="G39" s="4"/>
      <c r="H39" s="16" t="s">
        <v>108</v>
      </c>
      <c r="I39" s="3"/>
      <c r="J39" s="3"/>
      <c r="K39" s="3"/>
      <c r="L39" s="3"/>
      <c r="M39" s="3"/>
      <c r="N39" s="3"/>
    </row>
    <row r="40" spans="1:14" ht="27" x14ac:dyDescent="0.2">
      <c r="A40" s="166"/>
      <c r="B40" s="2">
        <v>20</v>
      </c>
      <c r="C40" s="39">
        <v>46153</v>
      </c>
      <c r="D40" s="35" t="s">
        <v>13</v>
      </c>
      <c r="E40" s="40">
        <v>46157</v>
      </c>
      <c r="F40" s="29" t="s">
        <v>109</v>
      </c>
      <c r="G40" s="29"/>
      <c r="H40" s="29" t="s">
        <v>110</v>
      </c>
      <c r="I40" s="29"/>
      <c r="J40" s="29"/>
      <c r="K40" s="29"/>
      <c r="L40" s="29"/>
      <c r="M40" s="29"/>
      <c r="N40" s="29"/>
    </row>
    <row r="41" spans="1:14" ht="27" x14ac:dyDescent="0.2">
      <c r="A41" s="166"/>
      <c r="B41" s="2">
        <v>21</v>
      </c>
      <c r="C41" s="39">
        <v>46160</v>
      </c>
      <c r="D41" s="35" t="s">
        <v>13</v>
      </c>
      <c r="E41" s="40">
        <v>46164</v>
      </c>
      <c r="F41" s="3"/>
      <c r="G41" s="3"/>
      <c r="H41" s="3" t="s">
        <v>78</v>
      </c>
      <c r="I41" s="3"/>
      <c r="J41" s="3"/>
      <c r="K41" s="3"/>
      <c r="L41" s="3"/>
      <c r="M41" s="3"/>
      <c r="N41" s="3"/>
    </row>
    <row r="42" spans="1:14" ht="27" x14ac:dyDescent="0.2">
      <c r="A42" s="166"/>
      <c r="B42" s="2">
        <v>22</v>
      </c>
      <c r="C42" s="39">
        <v>46168</v>
      </c>
      <c r="D42" s="35" t="s">
        <v>13</v>
      </c>
      <c r="E42" s="40">
        <v>46171</v>
      </c>
      <c r="F42" s="28" t="s">
        <v>111</v>
      </c>
      <c r="G42" s="29" t="s">
        <v>112</v>
      </c>
      <c r="H42" s="29"/>
      <c r="I42" s="29"/>
      <c r="J42" s="29"/>
      <c r="K42" s="29"/>
      <c r="L42" s="29"/>
      <c r="M42" s="29"/>
      <c r="N42" s="29"/>
    </row>
    <row r="43" spans="1:14" ht="27" x14ac:dyDescent="0.2">
      <c r="A43" s="166"/>
      <c r="B43" s="2">
        <v>23</v>
      </c>
      <c r="C43" s="39">
        <v>46174</v>
      </c>
      <c r="D43" s="35" t="s">
        <v>13</v>
      </c>
      <c r="E43" s="40">
        <v>46178</v>
      </c>
      <c r="F43" s="3"/>
      <c r="G43" s="15" t="s">
        <v>112</v>
      </c>
      <c r="H43" s="15"/>
      <c r="I43" s="3"/>
      <c r="J43" s="3"/>
      <c r="K43" s="3"/>
      <c r="L43" s="3"/>
      <c r="M43" s="3"/>
      <c r="N43" s="3"/>
    </row>
    <row r="44" spans="1:14" ht="27" x14ac:dyDescent="0.2">
      <c r="A44" s="166"/>
      <c r="B44" s="2">
        <v>24</v>
      </c>
      <c r="C44" s="39">
        <v>46181</v>
      </c>
      <c r="D44" s="35" t="s">
        <v>13</v>
      </c>
      <c r="E44" s="40">
        <v>46185</v>
      </c>
      <c r="F44" s="29"/>
      <c r="G44" s="29" t="s">
        <v>112</v>
      </c>
      <c r="H44" s="29"/>
      <c r="I44" s="29"/>
      <c r="J44" s="29"/>
      <c r="K44" s="29"/>
      <c r="L44" s="29"/>
      <c r="M44" s="29"/>
      <c r="N44" s="29"/>
    </row>
    <row r="45" spans="1:14" ht="27" x14ac:dyDescent="0.2">
      <c r="A45" s="167"/>
      <c r="B45" s="2">
        <v>25</v>
      </c>
      <c r="C45" s="39">
        <v>46188</v>
      </c>
      <c r="D45" s="35" t="s">
        <v>13</v>
      </c>
      <c r="E45" s="40">
        <v>46192</v>
      </c>
      <c r="F45" s="3" t="s">
        <v>113</v>
      </c>
      <c r="G45" s="3"/>
      <c r="H45" s="3"/>
      <c r="I45" s="3"/>
      <c r="J45" s="3"/>
      <c r="K45" s="3"/>
      <c r="L45" s="3"/>
      <c r="M45" s="3"/>
      <c r="N45" s="3"/>
    </row>
    <row r="46" spans="1:14" ht="40" x14ac:dyDescent="0.2">
      <c r="A46" s="18" t="s">
        <v>114</v>
      </c>
      <c r="B46" s="5">
        <v>26</v>
      </c>
      <c r="C46" s="50">
        <v>46195</v>
      </c>
      <c r="D46" s="51" t="s">
        <v>13</v>
      </c>
      <c r="E46" s="52">
        <v>46199</v>
      </c>
      <c r="F46" s="6" t="s">
        <v>114</v>
      </c>
      <c r="G46" s="7"/>
      <c r="H46" s="7"/>
      <c r="I46" s="7"/>
      <c r="J46" s="7"/>
      <c r="K46" s="7"/>
      <c r="L46" s="7"/>
      <c r="M46" s="7"/>
      <c r="N46" s="7"/>
    </row>
    <row r="47" spans="1:14" ht="40" x14ac:dyDescent="0.2">
      <c r="A47" s="18" t="s">
        <v>114</v>
      </c>
      <c r="B47" s="5">
        <v>27</v>
      </c>
      <c r="C47" s="50">
        <v>46202</v>
      </c>
      <c r="D47" s="51" t="s">
        <v>13</v>
      </c>
      <c r="E47" s="52">
        <v>46206</v>
      </c>
      <c r="F47" s="7"/>
      <c r="G47" s="7"/>
      <c r="H47" s="7"/>
      <c r="I47" s="7"/>
      <c r="J47" s="7"/>
      <c r="K47" s="7"/>
      <c r="L47" s="7"/>
      <c r="M47" s="7"/>
      <c r="N47" s="7"/>
    </row>
    <row r="48" spans="1:14" ht="40" x14ac:dyDescent="0.2">
      <c r="A48" s="18" t="s">
        <v>114</v>
      </c>
      <c r="B48" s="5">
        <v>28</v>
      </c>
      <c r="C48" s="50">
        <v>46209</v>
      </c>
      <c r="D48" s="51" t="s">
        <v>13</v>
      </c>
      <c r="E48" s="52">
        <v>46213</v>
      </c>
      <c r="F48" s="7"/>
      <c r="G48" s="7"/>
      <c r="H48" s="7"/>
      <c r="I48" s="7"/>
      <c r="J48" s="7"/>
      <c r="K48" s="7"/>
      <c r="L48" s="7"/>
      <c r="M48" s="7"/>
      <c r="N48" s="7"/>
    </row>
  </sheetData>
  <mergeCells count="5">
    <mergeCell ref="C1:E1"/>
    <mergeCell ref="A2:A8"/>
    <mergeCell ref="A9:A20"/>
    <mergeCell ref="A21:A33"/>
    <mergeCell ref="A34:A45"/>
  </mergeCells>
  <phoneticPr fontId="16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97CB-EF6F-1E45-93A1-C9E8DACBB337}">
  <dimension ref="A1:B20"/>
  <sheetViews>
    <sheetView workbookViewId="0">
      <selection activeCell="B4" sqref="B4"/>
    </sheetView>
  </sheetViews>
  <sheetFormatPr baseColWidth="10" defaultColWidth="11.5" defaultRowHeight="15" x14ac:dyDescent="0.2"/>
  <cols>
    <col min="1" max="1" width="25.5" customWidth="1"/>
    <col min="2" max="2" width="24.1640625" customWidth="1"/>
  </cols>
  <sheetData>
    <row r="1" spans="1:2" ht="19" x14ac:dyDescent="0.25">
      <c r="A1" s="64" t="s">
        <v>6</v>
      </c>
      <c r="B1" s="65" t="s">
        <v>7</v>
      </c>
    </row>
    <row r="2" spans="1:2" ht="19" x14ac:dyDescent="0.25">
      <c r="A2" s="66" t="s">
        <v>115</v>
      </c>
      <c r="B2" s="67" t="s">
        <v>116</v>
      </c>
    </row>
    <row r="3" spans="1:2" ht="19" x14ac:dyDescent="0.25">
      <c r="A3" s="66" t="s">
        <v>117</v>
      </c>
      <c r="B3" s="67" t="s">
        <v>118</v>
      </c>
    </row>
    <row r="4" spans="1:2" ht="19" x14ac:dyDescent="0.25">
      <c r="A4" s="66" t="s">
        <v>119</v>
      </c>
      <c r="B4" s="67" t="s">
        <v>120</v>
      </c>
    </row>
    <row r="5" spans="1:2" ht="19" x14ac:dyDescent="0.25">
      <c r="A5" s="66" t="s">
        <v>121</v>
      </c>
      <c r="B5" s="67" t="s">
        <v>122</v>
      </c>
    </row>
    <row r="6" spans="1:2" ht="19" x14ac:dyDescent="0.25">
      <c r="A6" s="66" t="s">
        <v>123</v>
      </c>
      <c r="B6" s="67" t="s">
        <v>8</v>
      </c>
    </row>
    <row r="7" spans="1:2" ht="19" x14ac:dyDescent="0.25">
      <c r="A7" s="66" t="s">
        <v>124</v>
      </c>
      <c r="B7" s="67" t="s">
        <v>125</v>
      </c>
    </row>
    <row r="8" spans="1:2" ht="19" x14ac:dyDescent="0.25">
      <c r="A8" s="66" t="s">
        <v>126</v>
      </c>
      <c r="B8" s="67" t="s">
        <v>127</v>
      </c>
    </row>
    <row r="9" spans="1:2" ht="19" x14ac:dyDescent="0.25">
      <c r="A9" s="66" t="s">
        <v>128</v>
      </c>
      <c r="B9" s="67" t="s">
        <v>129</v>
      </c>
    </row>
    <row r="10" spans="1:2" ht="19" x14ac:dyDescent="0.25">
      <c r="A10" s="66" t="s">
        <v>130</v>
      </c>
      <c r="B10" s="67" t="s">
        <v>131</v>
      </c>
    </row>
    <row r="11" spans="1:2" ht="19" x14ac:dyDescent="0.25">
      <c r="A11" s="66" t="s">
        <v>132</v>
      </c>
      <c r="B11" s="67" t="s">
        <v>133</v>
      </c>
    </row>
    <row r="12" spans="1:2" ht="19" x14ac:dyDescent="0.25">
      <c r="A12" s="66" t="s">
        <v>134</v>
      </c>
      <c r="B12" s="67" t="s">
        <v>135</v>
      </c>
    </row>
    <row r="13" spans="1:2" ht="19" x14ac:dyDescent="0.25">
      <c r="A13" s="66" t="s">
        <v>136</v>
      </c>
      <c r="B13" s="67" t="s">
        <v>137</v>
      </c>
    </row>
    <row r="14" spans="1:2" ht="19" x14ac:dyDescent="0.25">
      <c r="A14" s="66" t="s">
        <v>138</v>
      </c>
      <c r="B14" s="67" t="s">
        <v>139</v>
      </c>
    </row>
    <row r="15" spans="1:2" ht="19" x14ac:dyDescent="0.25">
      <c r="A15" s="66" t="s">
        <v>140</v>
      </c>
      <c r="B15" s="67" t="s">
        <v>141</v>
      </c>
    </row>
    <row r="16" spans="1:2" ht="19" x14ac:dyDescent="0.25">
      <c r="A16" s="66" t="s">
        <v>142</v>
      </c>
      <c r="B16" s="67" t="s">
        <v>9</v>
      </c>
    </row>
    <row r="17" spans="1:2" ht="19" x14ac:dyDescent="0.25">
      <c r="A17" s="66" t="s">
        <v>143</v>
      </c>
      <c r="B17" s="67" t="s">
        <v>144</v>
      </c>
    </row>
    <row r="18" spans="1:2" ht="19" x14ac:dyDescent="0.25">
      <c r="A18" s="66" t="s">
        <v>145</v>
      </c>
      <c r="B18" s="67" t="s">
        <v>146</v>
      </c>
    </row>
    <row r="19" spans="1:2" ht="19" x14ac:dyDescent="0.25">
      <c r="A19" s="66" t="s">
        <v>147</v>
      </c>
      <c r="B19" s="67" t="s">
        <v>148</v>
      </c>
    </row>
    <row r="20" spans="1:2" ht="19" x14ac:dyDescent="0.25">
      <c r="A20" s="66" t="s">
        <v>149</v>
      </c>
      <c r="B20" s="6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0CCC-36CC-4371-8553-54E07B7F03D1}">
  <dimension ref="A1:E21"/>
  <sheetViews>
    <sheetView topLeftCell="A2" zoomScale="191" workbookViewId="0">
      <selection activeCell="F11" sqref="F11"/>
    </sheetView>
  </sheetViews>
  <sheetFormatPr baseColWidth="10" defaultColWidth="8.83203125" defaultRowHeight="15" x14ac:dyDescent="0.2"/>
  <cols>
    <col min="1" max="1" width="21.1640625" customWidth="1"/>
    <col min="2" max="2" width="20.1640625" customWidth="1"/>
    <col min="3" max="3" width="6" customWidth="1"/>
    <col min="4" max="5" width="18.6640625" customWidth="1"/>
    <col min="9" max="9" width="13.83203125" bestFit="1" customWidth="1"/>
  </cols>
  <sheetData>
    <row r="1" spans="1:5" ht="24" x14ac:dyDescent="0.3">
      <c r="A1" s="168" t="s">
        <v>150</v>
      </c>
      <c r="B1" s="168"/>
      <c r="D1" s="169" t="s">
        <v>151</v>
      </c>
      <c r="E1" s="169"/>
    </row>
    <row r="2" spans="1:5" ht="16" thickBot="1" x14ac:dyDescent="0.25">
      <c r="A2" s="144" t="s">
        <v>152</v>
      </c>
      <c r="B2" s="145" t="s">
        <v>153</v>
      </c>
      <c r="D2" s="136" t="s">
        <v>154</v>
      </c>
      <c r="E2" s="137" t="s">
        <v>155</v>
      </c>
    </row>
    <row r="3" spans="1:5" ht="16" x14ac:dyDescent="0.2">
      <c r="A3" s="131" t="s">
        <v>115</v>
      </c>
      <c r="B3" s="132" t="s">
        <v>116</v>
      </c>
      <c r="D3" s="134" t="s">
        <v>120</v>
      </c>
      <c r="E3" s="141" t="s">
        <v>117</v>
      </c>
    </row>
    <row r="4" spans="1:5" ht="16" x14ac:dyDescent="0.2">
      <c r="A4" s="131" t="s">
        <v>117</v>
      </c>
      <c r="B4" s="132" t="s">
        <v>118</v>
      </c>
      <c r="D4" s="134" t="s">
        <v>123</v>
      </c>
      <c r="E4" s="141" t="s">
        <v>119</v>
      </c>
    </row>
    <row r="5" spans="1:5" ht="16" x14ac:dyDescent="0.2">
      <c r="A5" s="131" t="s">
        <v>119</v>
      </c>
      <c r="B5" s="132" t="s">
        <v>120</v>
      </c>
      <c r="D5" s="142" t="s">
        <v>124</v>
      </c>
      <c r="E5" s="141" t="s">
        <v>115</v>
      </c>
    </row>
    <row r="6" spans="1:5" ht="16" x14ac:dyDescent="0.2">
      <c r="A6" s="131" t="s">
        <v>121</v>
      </c>
      <c r="B6" s="132" t="s">
        <v>122</v>
      </c>
      <c r="D6" s="142" t="s">
        <v>132</v>
      </c>
      <c r="E6" s="141" t="s">
        <v>128</v>
      </c>
    </row>
    <row r="7" spans="1:5" ht="16" x14ac:dyDescent="0.2">
      <c r="A7" s="131" t="s">
        <v>123</v>
      </c>
      <c r="B7" s="132" t="s">
        <v>8</v>
      </c>
      <c r="D7" s="142" t="s">
        <v>131</v>
      </c>
      <c r="E7" s="141" t="s">
        <v>130</v>
      </c>
    </row>
    <row r="8" spans="1:5" ht="16" x14ac:dyDescent="0.2">
      <c r="A8" s="131" t="s">
        <v>124</v>
      </c>
      <c r="B8" s="132" t="s">
        <v>125</v>
      </c>
      <c r="D8" s="142" t="s">
        <v>133</v>
      </c>
      <c r="E8" s="141" t="s">
        <v>116</v>
      </c>
    </row>
    <row r="9" spans="1:5" ht="16" x14ac:dyDescent="0.2">
      <c r="A9" s="131" t="s">
        <v>126</v>
      </c>
      <c r="B9" s="132" t="s">
        <v>127</v>
      </c>
      <c r="D9" s="142" t="s">
        <v>8</v>
      </c>
      <c r="E9" s="141" t="s">
        <v>125</v>
      </c>
    </row>
    <row r="10" spans="1:5" ht="16" x14ac:dyDescent="0.2">
      <c r="A10" s="131" t="s">
        <v>128</v>
      </c>
      <c r="B10" s="132" t="s">
        <v>129</v>
      </c>
      <c r="D10" s="142" t="s">
        <v>118</v>
      </c>
      <c r="E10" s="141" t="s">
        <v>122</v>
      </c>
    </row>
    <row r="11" spans="1:5" ht="16" x14ac:dyDescent="0.2">
      <c r="A11" s="131" t="s">
        <v>130</v>
      </c>
      <c r="B11" s="132" t="s">
        <v>131</v>
      </c>
      <c r="D11" s="142" t="s">
        <v>126</v>
      </c>
      <c r="E11" s="141" t="s">
        <v>129</v>
      </c>
    </row>
    <row r="12" spans="1:5" ht="16" x14ac:dyDescent="0.2">
      <c r="A12" s="131" t="s">
        <v>132</v>
      </c>
      <c r="B12" s="132" t="s">
        <v>133</v>
      </c>
      <c r="D12" s="142" t="s">
        <v>121</v>
      </c>
      <c r="E12" s="141" t="s">
        <v>141</v>
      </c>
    </row>
    <row r="13" spans="1:5" ht="16" x14ac:dyDescent="0.2">
      <c r="A13" s="131" t="s">
        <v>134</v>
      </c>
      <c r="B13" s="132" t="s">
        <v>135</v>
      </c>
      <c r="D13" s="142" t="s">
        <v>127</v>
      </c>
      <c r="E13" s="141" t="s">
        <v>135</v>
      </c>
    </row>
    <row r="14" spans="1:5" ht="16" x14ac:dyDescent="0.2">
      <c r="A14" s="131" t="s">
        <v>136</v>
      </c>
      <c r="B14" s="132" t="s">
        <v>137</v>
      </c>
      <c r="D14" s="142" t="s">
        <v>137</v>
      </c>
      <c r="E14" s="135" t="s">
        <v>136</v>
      </c>
    </row>
    <row r="15" spans="1:5" ht="16" x14ac:dyDescent="0.2">
      <c r="A15" s="131" t="s">
        <v>138</v>
      </c>
      <c r="B15" s="132" t="s">
        <v>139</v>
      </c>
      <c r="D15" s="134" t="s">
        <v>134</v>
      </c>
      <c r="E15" s="141" t="s">
        <v>138</v>
      </c>
    </row>
    <row r="16" spans="1:5" ht="16" x14ac:dyDescent="0.2">
      <c r="A16" s="131" t="s">
        <v>140</v>
      </c>
      <c r="B16" s="132" t="s">
        <v>141</v>
      </c>
      <c r="D16" s="134" t="s">
        <v>142</v>
      </c>
      <c r="E16" s="141" t="s">
        <v>140</v>
      </c>
    </row>
    <row r="17" spans="1:5" ht="16" x14ac:dyDescent="0.2">
      <c r="A17" s="131" t="s">
        <v>142</v>
      </c>
      <c r="B17" s="132" t="s">
        <v>9</v>
      </c>
      <c r="D17" s="142" t="s">
        <v>145</v>
      </c>
      <c r="E17" s="141" t="s">
        <v>139</v>
      </c>
    </row>
    <row r="18" spans="1:5" ht="16" x14ac:dyDescent="0.2">
      <c r="A18" s="131" t="s">
        <v>143</v>
      </c>
      <c r="B18" s="132" t="s">
        <v>144</v>
      </c>
      <c r="D18" s="142" t="s">
        <v>147</v>
      </c>
      <c r="E18" s="141" t="s">
        <v>148</v>
      </c>
    </row>
    <row r="19" spans="1:5" ht="16" x14ac:dyDescent="0.2">
      <c r="A19" s="131" t="s">
        <v>145</v>
      </c>
      <c r="B19" s="132" t="s">
        <v>146</v>
      </c>
      <c r="D19" s="142" t="s">
        <v>149</v>
      </c>
      <c r="E19" s="141" t="s">
        <v>9</v>
      </c>
    </row>
    <row r="20" spans="1:5" ht="16" x14ac:dyDescent="0.2">
      <c r="A20" s="131" t="s">
        <v>147</v>
      </c>
      <c r="B20" s="132" t="s">
        <v>148</v>
      </c>
      <c r="D20" s="142" t="s">
        <v>144</v>
      </c>
      <c r="E20" s="141" t="s">
        <v>143</v>
      </c>
    </row>
    <row r="21" spans="1:5" ht="16" x14ac:dyDescent="0.2">
      <c r="A21" s="131" t="s">
        <v>149</v>
      </c>
      <c r="B21" s="133"/>
      <c r="D21" s="142" t="s">
        <v>146</v>
      </c>
      <c r="E21" s="143"/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4533-3AC5-BA48-92E4-A9ACBBF6956B}">
  <dimension ref="A1:E8"/>
  <sheetViews>
    <sheetView zoomScale="161" zoomScaleNormal="161" workbookViewId="0">
      <selection activeCell="C1" sqref="C1:C1048576"/>
    </sheetView>
  </sheetViews>
  <sheetFormatPr baseColWidth="10" defaultColWidth="11.5" defaultRowHeight="15" x14ac:dyDescent="0.2"/>
  <cols>
    <col min="1" max="3" width="17.1640625" customWidth="1"/>
    <col min="4" max="4" width="20.83203125" customWidth="1"/>
  </cols>
  <sheetData>
    <row r="1" spans="1:5" x14ac:dyDescent="0.2">
      <c r="A1" s="24" t="s">
        <v>156</v>
      </c>
      <c r="B1" s="24" t="s">
        <v>157</v>
      </c>
      <c r="C1" s="24" t="s">
        <v>158</v>
      </c>
      <c r="D1" s="24" t="s">
        <v>159</v>
      </c>
      <c r="E1" s="24" t="s">
        <v>160</v>
      </c>
    </row>
    <row r="2" spans="1:5" x14ac:dyDescent="0.2">
      <c r="A2" t="s">
        <v>161</v>
      </c>
      <c r="B2" t="s">
        <v>162</v>
      </c>
      <c r="D2" t="s">
        <v>163</v>
      </c>
    </row>
    <row r="3" spans="1:5" x14ac:dyDescent="0.2">
      <c r="A3" t="s">
        <v>164</v>
      </c>
      <c r="B3" t="s">
        <v>165</v>
      </c>
    </row>
    <row r="4" spans="1:5" x14ac:dyDescent="0.2">
      <c r="A4" t="s">
        <v>166</v>
      </c>
      <c r="B4" t="s">
        <v>167</v>
      </c>
    </row>
    <row r="5" spans="1:5" x14ac:dyDescent="0.2">
      <c r="A5" t="s">
        <v>168</v>
      </c>
    </row>
    <row r="6" spans="1:5" x14ac:dyDescent="0.2">
      <c r="A6" t="s">
        <v>169</v>
      </c>
    </row>
    <row r="7" spans="1:5" x14ac:dyDescent="0.2">
      <c r="A7" t="s">
        <v>170</v>
      </c>
    </row>
    <row r="8" spans="1:5" x14ac:dyDescent="0.2">
      <c r="A8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B82C-F42B-5B4C-B508-E7E2B1595291}">
  <dimension ref="A1:C21"/>
  <sheetViews>
    <sheetView zoomScale="156" workbookViewId="0">
      <selection activeCell="B4" sqref="B4"/>
    </sheetView>
  </sheetViews>
  <sheetFormatPr baseColWidth="10" defaultColWidth="11.5" defaultRowHeight="15" x14ac:dyDescent="0.2"/>
  <cols>
    <col min="1" max="1" width="33" customWidth="1"/>
    <col min="2" max="2" width="59.83203125" customWidth="1"/>
    <col min="3" max="3" width="40" bestFit="1" customWidth="1"/>
  </cols>
  <sheetData>
    <row r="1" spans="1:3" ht="93" x14ac:dyDescent="1.05">
      <c r="A1" s="170" t="s">
        <v>172</v>
      </c>
      <c r="B1" s="170"/>
      <c r="C1" s="170"/>
    </row>
    <row r="2" spans="1:3" ht="29" x14ac:dyDescent="0.35">
      <c r="A2" s="54" t="s">
        <v>173</v>
      </c>
      <c r="B2" s="171" t="s">
        <v>174</v>
      </c>
      <c r="C2" s="171"/>
    </row>
    <row r="3" spans="1:3" ht="29" x14ac:dyDescent="0.35">
      <c r="A3" s="55" t="s">
        <v>175</v>
      </c>
      <c r="B3" s="55" t="s">
        <v>176</v>
      </c>
      <c r="C3" s="56" t="s">
        <v>177</v>
      </c>
    </row>
    <row r="4" spans="1:3" ht="29" x14ac:dyDescent="0.35">
      <c r="A4" s="63" t="s">
        <v>178</v>
      </c>
      <c r="B4" s="71" t="s">
        <v>179</v>
      </c>
      <c r="C4" s="62"/>
    </row>
    <row r="5" spans="1:3" ht="20" x14ac:dyDescent="0.25">
      <c r="A5" s="61" t="s">
        <v>180</v>
      </c>
      <c r="B5" s="57" t="s">
        <v>181</v>
      </c>
      <c r="C5" s="57" t="s">
        <v>182</v>
      </c>
    </row>
    <row r="6" spans="1:3" ht="40" x14ac:dyDescent="0.25">
      <c r="A6" s="61" t="s">
        <v>183</v>
      </c>
      <c r="B6" s="59" t="s">
        <v>184</v>
      </c>
      <c r="C6" s="57" t="s">
        <v>185</v>
      </c>
    </row>
    <row r="7" spans="1:3" ht="20" x14ac:dyDescent="0.25">
      <c r="A7" s="61" t="s">
        <v>186</v>
      </c>
      <c r="B7" s="59" t="s">
        <v>187</v>
      </c>
      <c r="C7" s="57" t="s">
        <v>185</v>
      </c>
    </row>
    <row r="8" spans="1:3" ht="40" x14ac:dyDescent="0.25">
      <c r="A8" s="61" t="s">
        <v>188</v>
      </c>
      <c r="B8" s="58" t="s">
        <v>189</v>
      </c>
      <c r="C8" s="57" t="s">
        <v>185</v>
      </c>
    </row>
    <row r="9" spans="1:3" ht="40" x14ac:dyDescent="0.25">
      <c r="A9" s="61" t="s">
        <v>190</v>
      </c>
      <c r="B9" s="60" t="s">
        <v>191</v>
      </c>
      <c r="C9" s="57" t="s">
        <v>192</v>
      </c>
    </row>
    <row r="10" spans="1:3" ht="20" x14ac:dyDescent="0.25">
      <c r="A10" s="61" t="s">
        <v>193</v>
      </c>
      <c r="B10" s="58" t="s">
        <v>194</v>
      </c>
      <c r="C10" s="57" t="s">
        <v>195</v>
      </c>
    </row>
    <row r="11" spans="1:3" ht="80" x14ac:dyDescent="0.25">
      <c r="A11" s="61" t="s">
        <v>196</v>
      </c>
      <c r="B11" s="58" t="s">
        <v>197</v>
      </c>
      <c r="C11" s="57" t="s">
        <v>195</v>
      </c>
    </row>
    <row r="12" spans="1:3" ht="40" x14ac:dyDescent="0.25">
      <c r="A12" s="61" t="s">
        <v>198</v>
      </c>
      <c r="B12" s="58" t="s">
        <v>199</v>
      </c>
      <c r="C12" s="57" t="s">
        <v>195</v>
      </c>
    </row>
    <row r="13" spans="1:3" ht="60" x14ac:dyDescent="0.25">
      <c r="A13" s="61" t="s">
        <v>200</v>
      </c>
      <c r="B13" s="58" t="s">
        <v>201</v>
      </c>
      <c r="C13" s="57" t="s">
        <v>192</v>
      </c>
    </row>
    <row r="14" spans="1:3" ht="40" x14ac:dyDescent="0.25">
      <c r="A14" s="61" t="s">
        <v>202</v>
      </c>
      <c r="B14" s="58" t="s">
        <v>203</v>
      </c>
      <c r="C14" s="57" t="s">
        <v>192</v>
      </c>
    </row>
    <row r="15" spans="1:3" ht="60" x14ac:dyDescent="0.25">
      <c r="A15" s="61" t="s">
        <v>204</v>
      </c>
      <c r="B15" s="58" t="s">
        <v>205</v>
      </c>
      <c r="C15" s="57" t="s">
        <v>206</v>
      </c>
    </row>
    <row r="16" spans="1:3" ht="20" x14ac:dyDescent="0.25">
      <c r="A16" s="61" t="s">
        <v>207</v>
      </c>
      <c r="B16" s="58" t="s">
        <v>208</v>
      </c>
      <c r="C16" s="57" t="s">
        <v>192</v>
      </c>
    </row>
    <row r="17" spans="1:3" ht="20" x14ac:dyDescent="0.25">
      <c r="A17" s="61" t="s">
        <v>209</v>
      </c>
      <c r="B17" s="58"/>
      <c r="C17" s="57" t="s">
        <v>206</v>
      </c>
    </row>
    <row r="18" spans="1:3" ht="20" x14ac:dyDescent="0.25">
      <c r="A18" s="61" t="s">
        <v>210</v>
      </c>
      <c r="B18" s="58" t="s">
        <v>211</v>
      </c>
      <c r="C18" s="57" t="s">
        <v>185</v>
      </c>
    </row>
    <row r="19" spans="1:3" x14ac:dyDescent="0.2">
      <c r="B19" s="16"/>
    </row>
    <row r="20" spans="1:3" x14ac:dyDescent="0.2">
      <c r="B20" s="16"/>
    </row>
    <row r="21" spans="1:3" x14ac:dyDescent="0.2">
      <c r="B21" s="16"/>
    </row>
  </sheetData>
  <mergeCells count="2">
    <mergeCell ref="A1:C1"/>
    <mergeCell ref="B2:C2"/>
  </mergeCells>
  <hyperlinks>
    <hyperlink ref="B7" r:id="rId1" xr:uid="{AC1D95AD-26B2-EC49-B5FF-692810156DA6}"/>
    <hyperlink ref="B6" r:id="rId2" xr:uid="{989B02F3-9C4F-6D45-89E7-781FB34A2912}"/>
    <hyperlink ref="B4" r:id="rId3" xr:uid="{3FEA3209-2149-E040-84B4-6F8F00EEF88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49FF-958F-B841-9696-AFABA309F622}">
  <dimension ref="A1:AB44"/>
  <sheetViews>
    <sheetView workbookViewId="0">
      <selection activeCell="P22" sqref="P22"/>
    </sheetView>
  </sheetViews>
  <sheetFormatPr baseColWidth="10" defaultColWidth="11.5" defaultRowHeight="15" x14ac:dyDescent="0.2"/>
  <cols>
    <col min="1" max="1" width="17.6640625" customWidth="1"/>
    <col min="2" max="2" width="14.33203125" customWidth="1"/>
    <col min="3" max="3" width="22.33203125" customWidth="1"/>
    <col min="4" max="4" width="14.33203125" customWidth="1"/>
    <col min="5" max="5" width="16.1640625" bestFit="1" customWidth="1"/>
    <col min="6" max="6" width="15.5" bestFit="1" customWidth="1"/>
    <col min="7" max="7" width="16.83203125" customWidth="1"/>
    <col min="8" max="8" width="14.33203125" customWidth="1"/>
    <col min="9" max="9" width="16.83203125" customWidth="1"/>
    <col min="10" max="10" width="15.5" bestFit="1" customWidth="1"/>
    <col min="11" max="11" width="14.33203125" customWidth="1"/>
    <col min="12" max="12" width="18" customWidth="1"/>
    <col min="13" max="13" width="14.33203125" customWidth="1"/>
    <col min="14" max="14" width="15.83203125" bestFit="1" customWidth="1"/>
    <col min="15" max="15" width="19" customWidth="1"/>
    <col min="16" max="16" width="15.83203125" bestFit="1" customWidth="1"/>
    <col min="17" max="17" width="14.33203125" customWidth="1"/>
    <col min="18" max="18" width="18.83203125" customWidth="1"/>
    <col min="19" max="19" width="15.33203125" customWidth="1"/>
    <col min="22" max="22" width="13.83203125" customWidth="1"/>
    <col min="27" max="27" width="12.83203125" customWidth="1"/>
    <col min="28" max="28" width="28.83203125" bestFit="1" customWidth="1"/>
  </cols>
  <sheetData>
    <row r="1" spans="1:28" ht="63" x14ac:dyDescent="0.55000000000000004">
      <c r="A1" s="200" t="s">
        <v>212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75"/>
      <c r="U1" s="75"/>
      <c r="V1" s="192" t="s">
        <v>213</v>
      </c>
      <c r="W1" s="192"/>
      <c r="X1" s="192"/>
      <c r="Y1" s="192"/>
      <c r="Z1" s="192"/>
      <c r="AA1" s="192"/>
      <c r="AB1" s="192"/>
    </row>
    <row r="2" spans="1:28" ht="27" x14ac:dyDescent="0.2">
      <c r="A2" s="76"/>
      <c r="B2" s="76"/>
      <c r="C2" s="76"/>
      <c r="D2" s="76"/>
      <c r="E2" s="193" t="s">
        <v>214</v>
      </c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75"/>
      <c r="U2" s="75"/>
      <c r="V2" s="194"/>
      <c r="W2" s="194"/>
      <c r="X2" s="194"/>
      <c r="Y2" s="194"/>
      <c r="Z2" s="194"/>
      <c r="AA2" s="194"/>
      <c r="AB2" s="194"/>
    </row>
    <row r="3" spans="1:28" ht="35" x14ac:dyDescent="0.2">
      <c r="A3" s="77"/>
      <c r="B3" s="78" t="s">
        <v>215</v>
      </c>
      <c r="C3" s="78" t="s">
        <v>216</v>
      </c>
      <c r="D3" s="79"/>
      <c r="E3" s="78" t="s">
        <v>217</v>
      </c>
      <c r="F3" s="78"/>
      <c r="G3" s="78" t="s">
        <v>218</v>
      </c>
      <c r="H3" s="80"/>
      <c r="I3" s="78" t="s">
        <v>219</v>
      </c>
      <c r="J3" s="78"/>
      <c r="K3" s="78"/>
      <c r="L3" s="78" t="s">
        <v>220</v>
      </c>
      <c r="M3" s="80"/>
      <c r="N3" s="78" t="s">
        <v>221</v>
      </c>
      <c r="O3" s="78"/>
      <c r="P3" s="78" t="s">
        <v>222</v>
      </c>
      <c r="Q3" s="80"/>
      <c r="R3" s="78" t="s">
        <v>223</v>
      </c>
      <c r="S3" s="78" t="s">
        <v>224</v>
      </c>
      <c r="T3" s="75"/>
      <c r="U3" s="75"/>
      <c r="V3" s="194"/>
      <c r="W3" s="194"/>
      <c r="X3" s="194"/>
      <c r="Y3" s="194"/>
      <c r="Z3" s="194"/>
      <c r="AA3" s="194"/>
      <c r="AB3" s="194"/>
    </row>
    <row r="4" spans="1:28" ht="48" x14ac:dyDescent="0.35">
      <c r="A4" s="81" t="s">
        <v>225</v>
      </c>
      <c r="B4" s="121"/>
      <c r="C4" s="76" t="s">
        <v>226</v>
      </c>
      <c r="D4" s="82"/>
      <c r="E4" s="76" t="s">
        <v>7</v>
      </c>
      <c r="F4" s="76" t="s">
        <v>6</v>
      </c>
      <c r="G4" s="76" t="s">
        <v>227</v>
      </c>
      <c r="H4" s="83"/>
      <c r="I4" s="76" t="s">
        <v>7</v>
      </c>
      <c r="J4" s="76" t="s">
        <v>6</v>
      </c>
      <c r="K4" s="76" t="s">
        <v>227</v>
      </c>
      <c r="L4" s="76" t="s">
        <v>226</v>
      </c>
      <c r="M4" s="83"/>
      <c r="N4" s="76" t="s">
        <v>7</v>
      </c>
      <c r="O4" s="76" t="s">
        <v>6</v>
      </c>
      <c r="P4" s="76" t="s">
        <v>226</v>
      </c>
      <c r="Q4" s="83"/>
      <c r="R4" s="76" t="s">
        <v>7</v>
      </c>
      <c r="S4" s="76" t="s">
        <v>227</v>
      </c>
      <c r="T4" s="75"/>
      <c r="U4" s="75"/>
      <c r="V4" s="84" t="s">
        <v>228</v>
      </c>
      <c r="W4" s="84" t="s">
        <v>229</v>
      </c>
      <c r="X4" s="84" t="s">
        <v>230</v>
      </c>
      <c r="Y4" s="84" t="s">
        <v>231</v>
      </c>
      <c r="Z4" s="84" t="s">
        <v>232</v>
      </c>
      <c r="AA4" s="84" t="s">
        <v>11</v>
      </c>
      <c r="AB4" s="85" t="s">
        <v>233</v>
      </c>
    </row>
    <row r="5" spans="1:28" ht="32" customHeight="1" x14ac:dyDescent="0.35">
      <c r="A5" s="81" t="s">
        <v>234</v>
      </c>
      <c r="B5" s="121"/>
      <c r="C5" s="121"/>
      <c r="D5" s="122"/>
      <c r="E5" s="121" t="s">
        <v>235</v>
      </c>
      <c r="F5" s="121" t="s">
        <v>236</v>
      </c>
      <c r="G5" s="121" t="s">
        <v>236</v>
      </c>
      <c r="H5" s="122"/>
      <c r="I5" s="121" t="s">
        <v>237</v>
      </c>
      <c r="J5" s="121" t="s">
        <v>236</v>
      </c>
      <c r="K5" s="121" t="s">
        <v>238</v>
      </c>
      <c r="L5" s="121" t="s">
        <v>235</v>
      </c>
      <c r="M5" s="122"/>
      <c r="N5" s="121" t="s">
        <v>236</v>
      </c>
      <c r="O5" s="121" t="s">
        <v>237</v>
      </c>
      <c r="P5" s="121" t="s">
        <v>236</v>
      </c>
      <c r="Q5" s="122"/>
      <c r="R5" s="121" t="s">
        <v>236</v>
      </c>
      <c r="S5" s="121"/>
      <c r="T5" s="75"/>
      <c r="U5" s="75"/>
      <c r="V5" s="84"/>
      <c r="W5" s="84"/>
      <c r="X5" s="84"/>
      <c r="Y5" s="84"/>
      <c r="Z5" s="84"/>
      <c r="AA5" s="84"/>
      <c r="AB5" s="120" t="s">
        <v>239</v>
      </c>
    </row>
    <row r="6" spans="1:28" ht="27" x14ac:dyDescent="0.3">
      <c r="A6" s="86">
        <v>0.34722222222222221</v>
      </c>
      <c r="B6" s="108"/>
      <c r="C6" s="108"/>
      <c r="D6" s="88"/>
      <c r="E6" s="174" t="s">
        <v>240</v>
      </c>
      <c r="F6" s="174" t="s">
        <v>123</v>
      </c>
      <c r="G6" s="108"/>
      <c r="H6" s="87"/>
      <c r="I6" s="115"/>
      <c r="J6" s="115"/>
      <c r="K6" s="108"/>
      <c r="L6" s="108"/>
      <c r="M6" s="87"/>
      <c r="N6" s="182" t="s">
        <v>148</v>
      </c>
      <c r="O6" s="174" t="s">
        <v>130</v>
      </c>
      <c r="P6" s="108"/>
      <c r="Q6" s="87"/>
      <c r="R6" s="195" t="s">
        <v>241</v>
      </c>
      <c r="S6" s="115"/>
      <c r="T6" s="91"/>
      <c r="V6" s="105" t="s">
        <v>134</v>
      </c>
      <c r="W6" s="93" t="s">
        <v>90</v>
      </c>
      <c r="X6" s="94" t="s">
        <v>6</v>
      </c>
      <c r="Y6" s="94" t="s">
        <v>6</v>
      </c>
      <c r="Z6" s="94" t="s">
        <v>9</v>
      </c>
      <c r="AA6" s="94" t="s">
        <v>9</v>
      </c>
      <c r="AB6" s="104">
        <f t="shared" ref="AB6:AB42" si="0">COUNTIF($B$3:$S$43,V6)</f>
        <v>2</v>
      </c>
    </row>
    <row r="7" spans="1:28" ht="27" x14ac:dyDescent="0.3">
      <c r="A7" s="86">
        <v>0.35416666666666669</v>
      </c>
      <c r="B7" s="108"/>
      <c r="C7" s="108"/>
      <c r="D7" s="95"/>
      <c r="E7" s="175"/>
      <c r="F7" s="175"/>
      <c r="G7" s="108"/>
      <c r="H7" s="87"/>
      <c r="I7" s="116"/>
      <c r="J7" s="116"/>
      <c r="K7" s="108"/>
      <c r="L7" s="108"/>
      <c r="M7" s="87"/>
      <c r="N7" s="183"/>
      <c r="O7" s="175"/>
      <c r="P7" s="108"/>
      <c r="Q7" s="87"/>
      <c r="R7" s="196"/>
      <c r="S7" s="116"/>
      <c r="T7" s="91"/>
      <c r="V7" s="105" t="s">
        <v>136</v>
      </c>
      <c r="W7" s="93" t="s">
        <v>90</v>
      </c>
      <c r="X7" s="94" t="s">
        <v>6</v>
      </c>
      <c r="Y7" s="94" t="s">
        <v>6</v>
      </c>
      <c r="Z7" s="94" t="s">
        <v>9</v>
      </c>
      <c r="AA7" s="94" t="s">
        <v>9</v>
      </c>
      <c r="AB7" s="104">
        <f t="shared" si="0"/>
        <v>2</v>
      </c>
    </row>
    <row r="8" spans="1:28" ht="27" x14ac:dyDescent="0.3">
      <c r="A8" s="86">
        <v>0.3611111111111111</v>
      </c>
      <c r="B8" s="108"/>
      <c r="C8" s="108"/>
      <c r="D8" s="88"/>
      <c r="E8" s="182" t="s">
        <v>118</v>
      </c>
      <c r="F8" s="174" t="s">
        <v>134</v>
      </c>
      <c r="G8" s="109"/>
      <c r="H8" s="87"/>
      <c r="I8" s="115"/>
      <c r="J8" s="115"/>
      <c r="K8" s="109"/>
      <c r="L8" s="108"/>
      <c r="M8" s="87"/>
      <c r="N8" s="180" t="s">
        <v>144</v>
      </c>
      <c r="O8" s="174" t="s">
        <v>119</v>
      </c>
      <c r="P8" s="108"/>
      <c r="Q8" s="87"/>
      <c r="R8" s="196"/>
      <c r="S8" s="115"/>
      <c r="T8" s="91"/>
      <c r="V8" s="105" t="s">
        <v>138</v>
      </c>
      <c r="W8" s="93" t="s">
        <v>90</v>
      </c>
      <c r="X8" s="94" t="s">
        <v>6</v>
      </c>
      <c r="Y8" s="94" t="s">
        <v>6</v>
      </c>
      <c r="Z8" s="94" t="s">
        <v>9</v>
      </c>
      <c r="AA8" s="94" t="s">
        <v>9</v>
      </c>
      <c r="AB8" s="104">
        <f t="shared" si="0"/>
        <v>2</v>
      </c>
    </row>
    <row r="9" spans="1:28" ht="27" x14ac:dyDescent="0.3">
      <c r="A9" s="86">
        <v>0.36805555555555558</v>
      </c>
      <c r="B9" s="108"/>
      <c r="C9" s="108"/>
      <c r="D9" s="95"/>
      <c r="E9" s="183"/>
      <c r="F9" s="175"/>
      <c r="G9" s="108"/>
      <c r="H9" s="87"/>
      <c r="I9" s="116"/>
      <c r="J9" s="116"/>
      <c r="K9" s="108"/>
      <c r="L9" s="108"/>
      <c r="M9" s="87"/>
      <c r="N9" s="181"/>
      <c r="O9" s="175"/>
      <c r="P9" s="110"/>
      <c r="Q9" s="87"/>
      <c r="R9" s="196"/>
      <c r="S9" s="116"/>
      <c r="T9" s="91"/>
      <c r="V9" s="105" t="s">
        <v>140</v>
      </c>
      <c r="W9" s="93" t="s">
        <v>90</v>
      </c>
      <c r="X9" s="94" t="s">
        <v>6</v>
      </c>
      <c r="Y9" s="94" t="s">
        <v>6</v>
      </c>
      <c r="Z9" s="94" t="s">
        <v>9</v>
      </c>
      <c r="AA9" s="94" t="s">
        <v>9</v>
      </c>
      <c r="AB9" s="104">
        <f t="shared" si="0"/>
        <v>2</v>
      </c>
    </row>
    <row r="10" spans="1:28" ht="27" x14ac:dyDescent="0.3">
      <c r="A10" s="86">
        <v>0.375</v>
      </c>
      <c r="B10" s="108"/>
      <c r="C10" s="108"/>
      <c r="D10" s="88"/>
      <c r="E10" s="182" t="s">
        <v>120</v>
      </c>
      <c r="F10" s="174" t="s">
        <v>138</v>
      </c>
      <c r="G10" s="108"/>
      <c r="H10" s="94"/>
      <c r="I10" s="111"/>
      <c r="J10" s="108"/>
      <c r="K10" s="108"/>
      <c r="L10" s="108"/>
      <c r="M10" s="87"/>
      <c r="N10" s="198"/>
      <c r="O10" s="172" t="s">
        <v>149</v>
      </c>
      <c r="P10" s="108"/>
      <c r="Q10" s="87"/>
      <c r="R10" s="196"/>
      <c r="S10" s="109"/>
      <c r="T10" s="91"/>
      <c r="V10" s="105" t="s">
        <v>142</v>
      </c>
      <c r="W10" s="93" t="s">
        <v>90</v>
      </c>
      <c r="X10" s="94" t="s">
        <v>6</v>
      </c>
      <c r="Y10" s="94" t="s">
        <v>6</v>
      </c>
      <c r="Z10" s="94" t="s">
        <v>9</v>
      </c>
      <c r="AA10" s="94" t="s">
        <v>9</v>
      </c>
      <c r="AB10" s="104">
        <f t="shared" si="0"/>
        <v>2</v>
      </c>
    </row>
    <row r="11" spans="1:28" ht="27" x14ac:dyDescent="0.3">
      <c r="A11" s="86">
        <v>0.38194444444444442</v>
      </c>
      <c r="B11" s="108"/>
      <c r="C11" s="108"/>
      <c r="D11" s="95"/>
      <c r="E11" s="183"/>
      <c r="F11" s="175"/>
      <c r="G11" s="110"/>
      <c r="H11" s="94"/>
      <c r="I11" s="112"/>
      <c r="J11" s="109"/>
      <c r="K11" s="110"/>
      <c r="L11" s="108"/>
      <c r="M11" s="87"/>
      <c r="N11" s="199"/>
      <c r="O11" s="173"/>
      <c r="P11" s="108"/>
      <c r="Q11" s="87"/>
      <c r="R11" s="196"/>
      <c r="S11" s="109"/>
      <c r="T11" s="91"/>
      <c r="V11" s="105" t="s">
        <v>143</v>
      </c>
      <c r="W11" s="93" t="s">
        <v>90</v>
      </c>
      <c r="X11" s="94" t="s">
        <v>6</v>
      </c>
      <c r="Y11" s="94" t="s">
        <v>6</v>
      </c>
      <c r="Z11" s="94" t="s">
        <v>9</v>
      </c>
      <c r="AA11" s="94" t="s">
        <v>9</v>
      </c>
      <c r="AB11" s="104">
        <f t="shared" si="0"/>
        <v>2</v>
      </c>
    </row>
    <row r="12" spans="1:28" ht="27" x14ac:dyDescent="0.3">
      <c r="A12" s="86">
        <v>0.3888888888888889</v>
      </c>
      <c r="B12" s="108"/>
      <c r="C12" s="108"/>
      <c r="D12" s="88"/>
      <c r="E12" s="180" t="s">
        <v>116</v>
      </c>
      <c r="F12" s="180" t="s">
        <v>121</v>
      </c>
      <c r="G12" s="108"/>
      <c r="H12" s="94"/>
      <c r="I12" s="111"/>
      <c r="J12" s="111"/>
      <c r="K12" s="108"/>
      <c r="L12" s="108"/>
      <c r="M12" s="87"/>
      <c r="N12" s="180" t="s">
        <v>146</v>
      </c>
      <c r="O12" s="178"/>
      <c r="P12" s="108"/>
      <c r="Q12" s="87"/>
      <c r="R12" s="196"/>
      <c r="S12" s="111"/>
      <c r="T12" s="91"/>
      <c r="V12" s="105" t="s">
        <v>145</v>
      </c>
      <c r="W12" s="93" t="s">
        <v>90</v>
      </c>
      <c r="X12" s="94" t="s">
        <v>6</v>
      </c>
      <c r="Y12" s="94" t="s">
        <v>6</v>
      </c>
      <c r="Z12" s="94" t="s">
        <v>9</v>
      </c>
      <c r="AA12" s="94" t="s">
        <v>9</v>
      </c>
      <c r="AB12" s="104">
        <f t="shared" si="0"/>
        <v>2</v>
      </c>
    </row>
    <row r="13" spans="1:28" ht="27" x14ac:dyDescent="0.3">
      <c r="A13" s="86">
        <v>0.39583333333333331</v>
      </c>
      <c r="B13" s="108"/>
      <c r="C13" s="108"/>
      <c r="D13" s="95"/>
      <c r="E13" s="181"/>
      <c r="F13" s="181"/>
      <c r="G13" s="108"/>
      <c r="H13" s="94"/>
      <c r="I13" s="112"/>
      <c r="J13" s="112"/>
      <c r="K13" s="108"/>
      <c r="L13" s="108"/>
      <c r="M13" s="87"/>
      <c r="N13" s="181"/>
      <c r="O13" s="179"/>
      <c r="P13" s="110"/>
      <c r="Q13" s="87"/>
      <c r="R13" s="197"/>
      <c r="S13" s="112"/>
      <c r="T13" s="91"/>
      <c r="V13" s="105" t="s">
        <v>147</v>
      </c>
      <c r="W13" s="93" t="s">
        <v>90</v>
      </c>
      <c r="X13" s="94" t="s">
        <v>6</v>
      </c>
      <c r="Y13" s="94" t="s">
        <v>6</v>
      </c>
      <c r="Z13" s="94" t="s">
        <v>9</v>
      </c>
      <c r="AA13" s="94" t="s">
        <v>9</v>
      </c>
      <c r="AB13" s="104">
        <f t="shared" si="0"/>
        <v>2</v>
      </c>
    </row>
    <row r="14" spans="1:28" ht="27" x14ac:dyDescent="0.3">
      <c r="A14" s="86">
        <v>0.40625</v>
      </c>
      <c r="B14" s="98" t="s">
        <v>242</v>
      </c>
      <c r="C14" s="98" t="s">
        <v>242</v>
      </c>
      <c r="D14" s="99"/>
      <c r="E14" s="98" t="s">
        <v>242</v>
      </c>
      <c r="F14" s="98" t="s">
        <v>242</v>
      </c>
      <c r="G14" s="98" t="s">
        <v>242</v>
      </c>
      <c r="H14" s="105"/>
      <c r="I14" s="98" t="s">
        <v>242</v>
      </c>
      <c r="J14" s="98" t="s">
        <v>242</v>
      </c>
      <c r="K14" s="98" t="s">
        <v>242</v>
      </c>
      <c r="L14" s="98" t="s">
        <v>242</v>
      </c>
      <c r="M14" s="87"/>
      <c r="N14" s="98" t="s">
        <v>242</v>
      </c>
      <c r="O14" s="98" t="s">
        <v>242</v>
      </c>
      <c r="P14" s="98" t="s">
        <v>243</v>
      </c>
      <c r="Q14" s="87"/>
      <c r="R14" s="98" t="s">
        <v>242</v>
      </c>
      <c r="S14" s="98" t="s">
        <v>242</v>
      </c>
      <c r="T14" s="91"/>
      <c r="V14" s="105" t="s">
        <v>149</v>
      </c>
      <c r="W14" s="93" t="s">
        <v>90</v>
      </c>
      <c r="X14" s="94" t="s">
        <v>6</v>
      </c>
      <c r="Y14" s="94" t="s">
        <v>6</v>
      </c>
      <c r="Z14" s="94" t="s">
        <v>9</v>
      </c>
      <c r="AA14" s="94" t="s">
        <v>9</v>
      </c>
      <c r="AB14" s="104">
        <f t="shared" si="0"/>
        <v>2</v>
      </c>
    </row>
    <row r="15" spans="1:28" ht="27" customHeight="1" x14ac:dyDescent="0.3">
      <c r="A15" s="86">
        <v>0.41666666666666669</v>
      </c>
      <c r="B15" s="108"/>
      <c r="C15" s="108"/>
      <c r="D15" s="88"/>
      <c r="E15" s="182" t="s">
        <v>122</v>
      </c>
      <c r="F15" s="172" t="s">
        <v>244</v>
      </c>
      <c r="G15" s="108"/>
      <c r="H15" s="105"/>
      <c r="I15" s="115"/>
      <c r="J15" s="111"/>
      <c r="K15" s="108"/>
      <c r="L15" s="108"/>
      <c r="M15" s="87"/>
      <c r="N15" s="182" t="s">
        <v>139</v>
      </c>
      <c r="O15" s="174" t="s">
        <v>128</v>
      </c>
      <c r="P15" s="151" t="s">
        <v>132</v>
      </c>
      <c r="Q15" s="87"/>
      <c r="S15" s="89"/>
      <c r="T15" s="91"/>
      <c r="V15" s="106" t="s">
        <v>115</v>
      </c>
      <c r="W15" s="100" t="s">
        <v>245</v>
      </c>
      <c r="X15" s="100" t="s">
        <v>6</v>
      </c>
      <c r="Y15" s="100" t="s">
        <v>6</v>
      </c>
      <c r="Z15" s="107" t="s">
        <v>8</v>
      </c>
      <c r="AA15" s="100"/>
      <c r="AB15" s="104">
        <f t="shared" si="0"/>
        <v>2</v>
      </c>
    </row>
    <row r="16" spans="1:28" ht="27" x14ac:dyDescent="0.3">
      <c r="A16" s="86">
        <v>0.4236111111111111</v>
      </c>
      <c r="B16" s="108"/>
      <c r="C16" s="108"/>
      <c r="D16" s="95"/>
      <c r="E16" s="183"/>
      <c r="F16" s="173"/>
      <c r="G16" s="108"/>
      <c r="H16" s="105"/>
      <c r="I16" s="116"/>
      <c r="J16" s="112"/>
      <c r="K16" s="108"/>
      <c r="L16" s="108"/>
      <c r="M16" s="87"/>
      <c r="N16" s="183"/>
      <c r="O16" s="175"/>
      <c r="P16" s="126" t="s">
        <v>116</v>
      </c>
      <c r="Q16" s="87"/>
      <c r="S16" s="89"/>
      <c r="T16" s="91"/>
      <c r="V16" s="106" t="s">
        <v>117</v>
      </c>
      <c r="W16" s="100" t="s">
        <v>245</v>
      </c>
      <c r="X16" s="100" t="s">
        <v>6</v>
      </c>
      <c r="Y16" s="100" t="s">
        <v>6</v>
      </c>
      <c r="Z16" s="107" t="s">
        <v>8</v>
      </c>
      <c r="AA16" s="100"/>
      <c r="AB16" s="104">
        <f t="shared" si="0"/>
        <v>2</v>
      </c>
    </row>
    <row r="17" spans="1:28" ht="27" x14ac:dyDescent="0.3">
      <c r="A17" s="86">
        <v>0.43055555555555558</v>
      </c>
      <c r="B17" s="108"/>
      <c r="C17" s="108"/>
      <c r="D17" s="88"/>
      <c r="E17" s="182" t="s">
        <v>8</v>
      </c>
      <c r="F17" s="174" t="s">
        <v>136</v>
      </c>
      <c r="G17" s="108"/>
      <c r="H17" s="105"/>
      <c r="I17" s="115"/>
      <c r="J17" s="109"/>
      <c r="K17" s="108"/>
      <c r="L17" s="108"/>
      <c r="M17" s="87"/>
      <c r="O17" s="176" t="s">
        <v>124</v>
      </c>
      <c r="P17" s="128" t="s">
        <v>122</v>
      </c>
      <c r="Q17" s="87"/>
      <c r="T17" s="91"/>
      <c r="V17" s="106" t="s">
        <v>119</v>
      </c>
      <c r="W17" s="100" t="s">
        <v>245</v>
      </c>
      <c r="X17" s="100" t="s">
        <v>6</v>
      </c>
      <c r="Y17" s="100" t="s">
        <v>6</v>
      </c>
      <c r="Z17" s="107" t="s">
        <v>8</v>
      </c>
      <c r="AA17" s="100"/>
      <c r="AB17" s="104">
        <f t="shared" si="0"/>
        <v>3</v>
      </c>
    </row>
    <row r="18" spans="1:28" ht="27" x14ac:dyDescent="0.3">
      <c r="A18" s="86">
        <v>0.4375</v>
      </c>
      <c r="B18" s="108"/>
      <c r="C18" s="108"/>
      <c r="D18" s="95"/>
      <c r="E18" s="183"/>
      <c r="F18" s="175"/>
      <c r="G18" s="108"/>
      <c r="H18" s="105"/>
      <c r="I18" s="116"/>
      <c r="J18" s="109"/>
      <c r="K18" s="108"/>
      <c r="L18" s="108"/>
      <c r="M18" s="87"/>
      <c r="N18" s="130" t="s">
        <v>246</v>
      </c>
      <c r="O18" s="177"/>
      <c r="P18" s="125" t="s">
        <v>118</v>
      </c>
      <c r="Q18" s="87"/>
      <c r="S18" s="96"/>
      <c r="T18" s="91"/>
      <c r="V18" s="106" t="s">
        <v>121</v>
      </c>
      <c r="W18" s="100" t="s">
        <v>245</v>
      </c>
      <c r="X18" s="100" t="s">
        <v>6</v>
      </c>
      <c r="Y18" s="100" t="s">
        <v>6</v>
      </c>
      <c r="Z18" s="107" t="s">
        <v>8</v>
      </c>
      <c r="AA18" s="100"/>
      <c r="AB18" s="104">
        <f t="shared" si="0"/>
        <v>2</v>
      </c>
    </row>
    <row r="19" spans="1:28" ht="27" x14ac:dyDescent="0.3">
      <c r="A19" s="86">
        <v>0.4375</v>
      </c>
      <c r="B19" s="108"/>
      <c r="C19" s="108"/>
      <c r="D19" s="88"/>
      <c r="E19" s="182"/>
      <c r="F19" s="174" t="s">
        <v>140</v>
      </c>
      <c r="G19" s="108"/>
      <c r="H19" s="105"/>
      <c r="I19" s="115"/>
      <c r="J19" s="111"/>
      <c r="K19" s="108"/>
      <c r="L19" s="108"/>
      <c r="M19" s="87"/>
      <c r="N19" s="180" t="s">
        <v>9</v>
      </c>
      <c r="O19" s="174" t="s">
        <v>115</v>
      </c>
      <c r="P19" s="126" t="s">
        <v>120</v>
      </c>
      <c r="Q19" s="87"/>
      <c r="R19" s="90"/>
      <c r="S19" s="89"/>
      <c r="T19" s="91"/>
      <c r="V19" s="106" t="s">
        <v>123</v>
      </c>
      <c r="W19" s="100" t="s">
        <v>245</v>
      </c>
      <c r="X19" s="100" t="s">
        <v>6</v>
      </c>
      <c r="Y19" s="100" t="s">
        <v>6</v>
      </c>
      <c r="Z19" s="107" t="s">
        <v>8</v>
      </c>
      <c r="AA19" s="100"/>
      <c r="AB19" s="104">
        <f t="shared" si="0"/>
        <v>2</v>
      </c>
    </row>
    <row r="20" spans="1:28" ht="27" x14ac:dyDescent="0.3">
      <c r="A20" s="86">
        <v>0.44444444444444442</v>
      </c>
      <c r="B20" s="108"/>
      <c r="C20" s="108"/>
      <c r="D20" s="95"/>
      <c r="E20" s="183"/>
      <c r="F20" s="175"/>
      <c r="G20" s="108"/>
      <c r="H20" s="105"/>
      <c r="I20" s="116"/>
      <c r="J20" s="112"/>
      <c r="K20" s="108"/>
      <c r="L20" s="108"/>
      <c r="M20" s="87"/>
      <c r="N20" s="181"/>
      <c r="O20" s="175"/>
      <c r="Q20" s="87"/>
      <c r="R20" s="116"/>
      <c r="S20" s="116"/>
      <c r="T20" s="91"/>
      <c r="V20" s="106" t="s">
        <v>124</v>
      </c>
      <c r="W20" s="100" t="s">
        <v>245</v>
      </c>
      <c r="X20" s="100" t="s">
        <v>6</v>
      </c>
      <c r="Y20" s="100" t="s">
        <v>6</v>
      </c>
      <c r="Z20" s="107" t="s">
        <v>8</v>
      </c>
      <c r="AA20" s="100"/>
      <c r="AB20" s="104">
        <f t="shared" si="0"/>
        <v>2</v>
      </c>
    </row>
    <row r="21" spans="1:28" ht="27" x14ac:dyDescent="0.3">
      <c r="A21" s="86">
        <v>0.4513888888888889</v>
      </c>
      <c r="B21" s="108"/>
      <c r="C21" s="87"/>
      <c r="D21" s="88"/>
      <c r="E21" s="182" t="s">
        <v>127</v>
      </c>
      <c r="F21" s="178"/>
      <c r="G21" s="108"/>
      <c r="H21" s="105"/>
      <c r="I21" s="115"/>
      <c r="J21" s="109"/>
      <c r="K21" s="108"/>
      <c r="L21" s="108"/>
      <c r="M21" s="87"/>
      <c r="P21" s="125" t="s">
        <v>115</v>
      </c>
      <c r="Q21" s="87"/>
      <c r="R21" s="115"/>
      <c r="S21" s="115"/>
      <c r="T21" s="91"/>
      <c r="V21" s="106" t="s">
        <v>126</v>
      </c>
      <c r="W21" s="100" t="s">
        <v>245</v>
      </c>
      <c r="X21" s="100" t="s">
        <v>6</v>
      </c>
      <c r="Y21" s="100" t="s">
        <v>6</v>
      </c>
      <c r="Z21" s="107" t="s">
        <v>8</v>
      </c>
      <c r="AA21" s="100"/>
      <c r="AB21" s="104">
        <f t="shared" si="0"/>
        <v>2</v>
      </c>
    </row>
    <row r="22" spans="1:28" ht="27" x14ac:dyDescent="0.3">
      <c r="A22" s="86">
        <v>0.45833333333333331</v>
      </c>
      <c r="B22" s="108"/>
      <c r="C22" s="87"/>
      <c r="D22" s="95"/>
      <c r="E22" s="183"/>
      <c r="F22" s="179"/>
      <c r="G22" s="108"/>
      <c r="H22" s="105"/>
      <c r="I22" s="116"/>
      <c r="J22" s="108"/>
      <c r="K22" s="108"/>
      <c r="L22" s="108"/>
      <c r="M22" s="87"/>
      <c r="N22" s="129"/>
      <c r="P22" s="126" t="s">
        <v>8</v>
      </c>
      <c r="Q22" s="87"/>
      <c r="R22" s="116"/>
      <c r="S22" s="116"/>
      <c r="T22" s="91"/>
      <c r="V22" s="106" t="s">
        <v>128</v>
      </c>
      <c r="W22" s="100" t="s">
        <v>245</v>
      </c>
      <c r="X22" s="100" t="s">
        <v>6</v>
      </c>
      <c r="Y22" s="100" t="s">
        <v>6</v>
      </c>
      <c r="Z22" s="107" t="s">
        <v>8</v>
      </c>
      <c r="AA22" s="100"/>
      <c r="AB22" s="104">
        <f t="shared" si="0"/>
        <v>2</v>
      </c>
    </row>
    <row r="23" spans="1:28" ht="27" x14ac:dyDescent="0.3">
      <c r="A23" s="86">
        <v>0.46527777777777779</v>
      </c>
      <c r="B23" s="108"/>
      <c r="C23" s="87"/>
      <c r="D23" s="88"/>
      <c r="E23" s="188" t="s">
        <v>131</v>
      </c>
      <c r="F23" s="172" t="s">
        <v>142</v>
      </c>
      <c r="G23" s="108"/>
      <c r="H23" s="105"/>
      <c r="I23" s="115"/>
      <c r="J23" s="109"/>
      <c r="K23" s="108"/>
      <c r="L23" s="108"/>
      <c r="M23" s="87"/>
      <c r="N23" s="123"/>
      <c r="P23" s="127" t="s">
        <v>125</v>
      </c>
      <c r="Q23" s="87"/>
      <c r="R23" s="115"/>
      <c r="S23" s="115"/>
      <c r="T23" s="91"/>
      <c r="V23" s="106" t="s">
        <v>130</v>
      </c>
      <c r="W23" s="100" t="s">
        <v>245</v>
      </c>
      <c r="X23" s="100" t="s">
        <v>6</v>
      </c>
      <c r="Y23" s="100" t="s">
        <v>6</v>
      </c>
      <c r="Z23" s="107" t="s">
        <v>8</v>
      </c>
      <c r="AA23" s="100"/>
      <c r="AB23" s="104">
        <f t="shared" si="0"/>
        <v>2</v>
      </c>
    </row>
    <row r="24" spans="1:28" ht="27" x14ac:dyDescent="0.3">
      <c r="A24" s="86">
        <v>0.47222222222222221</v>
      </c>
      <c r="B24" s="108"/>
      <c r="C24" s="87"/>
      <c r="D24" s="95"/>
      <c r="E24" s="189"/>
      <c r="F24" s="173"/>
      <c r="G24" s="108"/>
      <c r="H24" s="105"/>
      <c r="I24" s="116"/>
      <c r="J24" s="108"/>
      <c r="K24" s="108"/>
      <c r="L24" s="108"/>
      <c r="M24" s="87"/>
      <c r="N24" s="97"/>
      <c r="P24" s="127" t="s">
        <v>119</v>
      </c>
      <c r="Q24" s="87"/>
      <c r="R24" s="116"/>
      <c r="S24" s="116"/>
      <c r="T24" s="91"/>
      <c r="V24" s="106" t="s">
        <v>132</v>
      </c>
      <c r="W24" s="100" t="s">
        <v>245</v>
      </c>
      <c r="X24" s="100" t="s">
        <v>6</v>
      </c>
      <c r="Y24" s="100" t="s">
        <v>6</v>
      </c>
      <c r="Z24" s="107" t="s">
        <v>8</v>
      </c>
      <c r="AA24" s="100"/>
      <c r="AB24" s="104">
        <f t="shared" si="0"/>
        <v>2</v>
      </c>
    </row>
    <row r="25" spans="1:28" ht="27" x14ac:dyDescent="0.3">
      <c r="A25" s="86">
        <v>0.47916666666666669</v>
      </c>
      <c r="B25" s="98" t="s">
        <v>247</v>
      </c>
      <c r="C25" s="98" t="s">
        <v>247</v>
      </c>
      <c r="D25" s="99"/>
      <c r="E25" s="98" t="s">
        <v>247</v>
      </c>
      <c r="F25" s="98" t="s">
        <v>247</v>
      </c>
      <c r="G25" s="98" t="s">
        <v>247</v>
      </c>
      <c r="H25" s="105"/>
      <c r="I25" s="98" t="s">
        <v>247</v>
      </c>
      <c r="J25" s="98" t="s">
        <v>247</v>
      </c>
      <c r="K25" s="98" t="s">
        <v>247</v>
      </c>
      <c r="L25" s="98" t="s">
        <v>247</v>
      </c>
      <c r="M25" s="87"/>
      <c r="N25" s="98" t="s">
        <v>247</v>
      </c>
      <c r="O25" s="98" t="s">
        <v>247</v>
      </c>
      <c r="P25" s="98" t="s">
        <v>247</v>
      </c>
      <c r="Q25" s="87"/>
      <c r="R25" s="98" t="s">
        <v>247</v>
      </c>
      <c r="S25" s="98" t="s">
        <v>247</v>
      </c>
      <c r="T25" s="91"/>
      <c r="U25" s="92"/>
      <c r="V25" s="93" t="s">
        <v>135</v>
      </c>
      <c r="W25" s="93" t="s">
        <v>90</v>
      </c>
      <c r="X25" s="94" t="s">
        <v>7</v>
      </c>
      <c r="Y25" s="94" t="s">
        <v>7</v>
      </c>
      <c r="Z25" s="94" t="s">
        <v>9</v>
      </c>
      <c r="AA25" s="94" t="s">
        <v>7</v>
      </c>
      <c r="AB25" s="104">
        <f t="shared" si="0"/>
        <v>2</v>
      </c>
    </row>
    <row r="26" spans="1:28" ht="27" x14ac:dyDescent="0.3">
      <c r="A26" s="86">
        <v>0.51388888888888884</v>
      </c>
      <c r="B26" s="87"/>
      <c r="C26" s="152" t="s">
        <v>117</v>
      </c>
      <c r="F26" s="111"/>
      <c r="G26" s="147" t="s">
        <v>135</v>
      </c>
      <c r="H26" s="93"/>
      <c r="I26" s="182" t="s">
        <v>137</v>
      </c>
      <c r="J26" s="130" t="s">
        <v>248</v>
      </c>
      <c r="K26" s="93" t="s">
        <v>139</v>
      </c>
      <c r="L26" s="150" t="s">
        <v>119</v>
      </c>
      <c r="M26" s="87"/>
      <c r="N26" s="115"/>
      <c r="O26" s="115"/>
      <c r="P26" s="115"/>
      <c r="Q26" s="87"/>
      <c r="R26" s="115"/>
      <c r="S26" s="115"/>
      <c r="T26" s="91"/>
      <c r="U26" s="92"/>
      <c r="V26" s="93" t="s">
        <v>137</v>
      </c>
      <c r="W26" s="93" t="s">
        <v>90</v>
      </c>
      <c r="X26" s="94" t="s">
        <v>7</v>
      </c>
      <c r="Y26" s="94" t="s">
        <v>7</v>
      </c>
      <c r="Z26" s="94" t="s">
        <v>9</v>
      </c>
      <c r="AA26" s="94" t="s">
        <v>7</v>
      </c>
      <c r="AB26" s="104">
        <f t="shared" si="0"/>
        <v>2</v>
      </c>
    </row>
    <row r="27" spans="1:28" ht="27" x14ac:dyDescent="0.3">
      <c r="A27" s="86">
        <v>0.52083333333333337</v>
      </c>
      <c r="B27" s="87"/>
      <c r="C27" s="151" t="s">
        <v>126</v>
      </c>
      <c r="F27" s="112"/>
      <c r="G27" s="147" t="s">
        <v>137</v>
      </c>
      <c r="H27" s="93"/>
      <c r="I27" s="183"/>
      <c r="J27" s="184" t="s">
        <v>147</v>
      </c>
      <c r="K27" s="105" t="s">
        <v>9</v>
      </c>
      <c r="L27" s="151" t="s">
        <v>123</v>
      </c>
      <c r="M27" s="87"/>
      <c r="N27" s="116"/>
      <c r="O27" s="116"/>
      <c r="P27" s="116"/>
      <c r="Q27" s="87"/>
      <c r="R27" s="116"/>
      <c r="S27" s="116"/>
      <c r="T27" s="91"/>
      <c r="U27" s="92"/>
      <c r="V27" s="93" t="s">
        <v>139</v>
      </c>
      <c r="W27" s="93" t="s">
        <v>90</v>
      </c>
      <c r="X27" s="94" t="s">
        <v>7</v>
      </c>
      <c r="Y27" s="94" t="s">
        <v>7</v>
      </c>
      <c r="Z27" s="94" t="s">
        <v>9</v>
      </c>
      <c r="AA27" s="94" t="s">
        <v>7</v>
      </c>
      <c r="AB27" s="104">
        <f t="shared" si="0"/>
        <v>2</v>
      </c>
    </row>
    <row r="28" spans="1:28" ht="24" customHeight="1" x14ac:dyDescent="0.2">
      <c r="A28" s="86">
        <v>0.52777777777777779</v>
      </c>
      <c r="B28" s="87"/>
      <c r="F28" s="111"/>
      <c r="G28" s="124"/>
      <c r="H28" s="93"/>
      <c r="J28" s="184"/>
      <c r="K28" s="89"/>
      <c r="M28" s="87"/>
      <c r="N28" s="115"/>
      <c r="O28" s="115"/>
      <c r="P28" s="115"/>
      <c r="Q28" s="87"/>
      <c r="R28" s="115"/>
      <c r="S28" s="115"/>
      <c r="T28" s="91"/>
      <c r="U28" s="92"/>
      <c r="V28" s="93" t="s">
        <v>141</v>
      </c>
      <c r="W28" s="93" t="s">
        <v>90</v>
      </c>
      <c r="X28" s="94" t="s">
        <v>7</v>
      </c>
      <c r="Y28" s="94" t="s">
        <v>7</v>
      </c>
      <c r="Z28" s="94" t="s">
        <v>9</v>
      </c>
      <c r="AA28" s="94" t="s">
        <v>7</v>
      </c>
      <c r="AB28" s="104">
        <f t="shared" si="0"/>
        <v>2</v>
      </c>
    </row>
    <row r="29" spans="1:28" ht="27" x14ac:dyDescent="0.2">
      <c r="A29" s="86">
        <v>0.53472222222222221</v>
      </c>
      <c r="B29" s="101"/>
      <c r="C29" s="152" t="s">
        <v>128</v>
      </c>
      <c r="F29" s="112"/>
      <c r="G29" s="147" t="s">
        <v>144</v>
      </c>
      <c r="H29" s="93"/>
      <c r="J29" s="185"/>
      <c r="K29" s="93" t="s">
        <v>143</v>
      </c>
      <c r="L29" s="150" t="s">
        <v>122</v>
      </c>
      <c r="M29" s="87"/>
      <c r="N29" s="116"/>
      <c r="O29" s="116"/>
      <c r="P29" s="116"/>
      <c r="Q29" s="87"/>
      <c r="R29" s="116"/>
      <c r="S29" s="116"/>
      <c r="T29" s="91"/>
      <c r="U29" s="92"/>
      <c r="V29" s="93" t="s">
        <v>9</v>
      </c>
      <c r="W29" s="93" t="s">
        <v>90</v>
      </c>
      <c r="X29" s="94" t="s">
        <v>7</v>
      </c>
      <c r="Y29" s="94" t="s">
        <v>7</v>
      </c>
      <c r="Z29" s="94" t="s">
        <v>9</v>
      </c>
      <c r="AA29" s="94" t="s">
        <v>7</v>
      </c>
      <c r="AB29" s="104">
        <f t="shared" si="0"/>
        <v>2</v>
      </c>
    </row>
    <row r="30" spans="1:28" ht="27" x14ac:dyDescent="0.3">
      <c r="A30" s="86">
        <v>0.54166666666666663</v>
      </c>
      <c r="B30" s="101"/>
      <c r="C30" s="146" t="s">
        <v>124</v>
      </c>
      <c r="F30" s="111"/>
      <c r="G30" s="148" t="s">
        <v>138</v>
      </c>
      <c r="H30" s="93"/>
      <c r="I30" s="182" t="s">
        <v>141</v>
      </c>
      <c r="J30" s="174" t="s">
        <v>145</v>
      </c>
      <c r="K30" s="93"/>
      <c r="L30" s="172" t="s">
        <v>249</v>
      </c>
      <c r="M30" s="87"/>
      <c r="N30" s="115"/>
      <c r="O30" s="115"/>
      <c r="Q30" s="87"/>
      <c r="R30" s="115"/>
      <c r="S30" s="115"/>
      <c r="T30" s="91"/>
      <c r="U30" s="92"/>
      <c r="V30" s="93" t="s">
        <v>144</v>
      </c>
      <c r="W30" s="93" t="s">
        <v>90</v>
      </c>
      <c r="X30" s="94" t="s">
        <v>7</v>
      </c>
      <c r="Y30" s="94" t="s">
        <v>7</v>
      </c>
      <c r="Z30" s="94" t="s">
        <v>9</v>
      </c>
      <c r="AA30" s="94" t="s">
        <v>7</v>
      </c>
      <c r="AB30" s="104">
        <f t="shared" si="0"/>
        <v>2</v>
      </c>
    </row>
    <row r="31" spans="1:28" ht="27" x14ac:dyDescent="0.2">
      <c r="A31" s="86">
        <v>0.54861111111111116</v>
      </c>
      <c r="B31" s="101"/>
      <c r="F31" s="112"/>
      <c r="G31" s="149" t="s">
        <v>148</v>
      </c>
      <c r="H31" s="93"/>
      <c r="I31" s="183"/>
      <c r="J31" s="175"/>
      <c r="L31" s="173"/>
      <c r="M31" s="87"/>
      <c r="N31" s="116"/>
      <c r="O31" s="116"/>
      <c r="Q31" s="87"/>
      <c r="R31" s="116"/>
      <c r="S31" s="116"/>
      <c r="T31" s="91"/>
      <c r="U31" s="92"/>
      <c r="V31" s="93" t="s">
        <v>146</v>
      </c>
      <c r="W31" s="93" t="s">
        <v>90</v>
      </c>
      <c r="X31" s="94" t="s">
        <v>7</v>
      </c>
      <c r="Y31" s="94" t="s">
        <v>7</v>
      </c>
      <c r="Z31" s="94" t="s">
        <v>9</v>
      </c>
      <c r="AA31" s="94" t="s">
        <v>7</v>
      </c>
      <c r="AB31" s="104">
        <f t="shared" si="0"/>
        <v>2</v>
      </c>
    </row>
    <row r="32" spans="1:28" ht="27" x14ac:dyDescent="0.2">
      <c r="A32" s="86">
        <v>0.55555555555555558</v>
      </c>
      <c r="B32" s="101"/>
      <c r="C32" s="153" t="s">
        <v>130</v>
      </c>
      <c r="F32" s="111"/>
      <c r="G32" s="147" t="s">
        <v>146</v>
      </c>
      <c r="H32" s="93"/>
      <c r="I32" s="182" t="s">
        <v>135</v>
      </c>
      <c r="J32" s="172" t="s">
        <v>143</v>
      </c>
      <c r="K32" s="89"/>
      <c r="L32" s="152" t="s">
        <v>129</v>
      </c>
      <c r="M32" s="87"/>
      <c r="N32" s="115"/>
      <c r="O32" s="115"/>
      <c r="Q32" s="87"/>
      <c r="R32" s="115"/>
      <c r="S32" s="115"/>
      <c r="T32" s="91"/>
      <c r="U32" s="92"/>
      <c r="V32" s="93" t="s">
        <v>148</v>
      </c>
      <c r="W32" s="93" t="s">
        <v>90</v>
      </c>
      <c r="X32" s="94" t="s">
        <v>7</v>
      </c>
      <c r="Y32" s="94" t="s">
        <v>7</v>
      </c>
      <c r="Z32" s="94" t="s">
        <v>9</v>
      </c>
      <c r="AA32" s="94" t="s">
        <v>7</v>
      </c>
      <c r="AB32" s="104">
        <f t="shared" si="0"/>
        <v>2</v>
      </c>
    </row>
    <row r="33" spans="1:28" ht="27" x14ac:dyDescent="0.3">
      <c r="A33" s="86">
        <v>0.5625</v>
      </c>
      <c r="B33" s="101"/>
      <c r="C33" s="152" t="s">
        <v>121</v>
      </c>
      <c r="F33" s="112"/>
      <c r="G33" s="148" t="s">
        <v>140</v>
      </c>
      <c r="H33" s="93"/>
      <c r="I33" s="183"/>
      <c r="J33" s="173"/>
      <c r="K33" s="96"/>
      <c r="L33" s="154" t="s">
        <v>131</v>
      </c>
      <c r="M33" s="87"/>
      <c r="N33" s="116"/>
      <c r="O33" s="116"/>
      <c r="P33" s="97"/>
      <c r="Q33" s="87"/>
      <c r="R33" s="116"/>
      <c r="S33" s="116"/>
      <c r="T33" s="91"/>
      <c r="U33" s="92"/>
      <c r="V33" s="100" t="s">
        <v>116</v>
      </c>
      <c r="W33" s="100" t="s">
        <v>245</v>
      </c>
      <c r="X33" s="100" t="s">
        <v>7</v>
      </c>
      <c r="Y33" s="100" t="s">
        <v>7</v>
      </c>
      <c r="Z33" s="107" t="s">
        <v>8</v>
      </c>
      <c r="AA33" s="100"/>
      <c r="AB33" s="104">
        <f t="shared" si="0"/>
        <v>2</v>
      </c>
    </row>
    <row r="34" spans="1:28" ht="27" x14ac:dyDescent="0.2">
      <c r="A34" s="86">
        <v>0.57291666666666663</v>
      </c>
      <c r="B34" s="98" t="s">
        <v>242</v>
      </c>
      <c r="C34" s="98" t="s">
        <v>242</v>
      </c>
      <c r="E34" s="98" t="s">
        <v>242</v>
      </c>
      <c r="F34" s="98" t="s">
        <v>242</v>
      </c>
      <c r="G34" s="98" t="s">
        <v>242</v>
      </c>
      <c r="I34" s="98" t="s">
        <v>242</v>
      </c>
      <c r="J34" s="98" t="s">
        <v>242</v>
      </c>
      <c r="K34" s="98" t="s">
        <v>242</v>
      </c>
      <c r="L34" s="98" t="s">
        <v>242</v>
      </c>
      <c r="M34" s="87"/>
      <c r="N34" s="98" t="s">
        <v>242</v>
      </c>
      <c r="O34" s="98" t="s">
        <v>242</v>
      </c>
      <c r="P34" s="98" t="s">
        <v>242</v>
      </c>
      <c r="Q34" s="87"/>
      <c r="R34" s="98" t="s">
        <v>242</v>
      </c>
      <c r="S34" s="98" t="s">
        <v>242</v>
      </c>
      <c r="T34" s="91"/>
      <c r="U34" s="92"/>
      <c r="V34" s="100" t="s">
        <v>118</v>
      </c>
      <c r="W34" s="100" t="s">
        <v>245</v>
      </c>
      <c r="X34" s="100" t="s">
        <v>7</v>
      </c>
      <c r="Y34" s="100" t="s">
        <v>7</v>
      </c>
      <c r="Z34" s="107" t="s">
        <v>8</v>
      </c>
      <c r="AA34" s="100"/>
      <c r="AB34" s="104">
        <f t="shared" si="0"/>
        <v>2</v>
      </c>
    </row>
    <row r="35" spans="1:28" ht="27" customHeight="1" x14ac:dyDescent="0.3">
      <c r="A35" s="86">
        <v>0.58333333333333337</v>
      </c>
      <c r="C35" s="151" t="s">
        <v>127</v>
      </c>
      <c r="E35" s="113"/>
      <c r="F35" s="111"/>
      <c r="G35" s="148" t="s">
        <v>134</v>
      </c>
      <c r="I35" s="182" t="s">
        <v>133</v>
      </c>
      <c r="J35" s="172" t="s">
        <v>132</v>
      </c>
      <c r="K35" s="186" t="s">
        <v>250</v>
      </c>
      <c r="L35" s="115"/>
      <c r="M35" s="87"/>
      <c r="N35" s="115"/>
      <c r="O35" s="111"/>
      <c r="P35" s="119"/>
      <c r="Q35" s="87"/>
      <c r="R35" s="115"/>
      <c r="S35" s="111"/>
      <c r="T35" s="91"/>
      <c r="U35" s="92"/>
      <c r="V35" s="100" t="s">
        <v>120</v>
      </c>
      <c r="W35" s="100" t="s">
        <v>245</v>
      </c>
      <c r="X35" s="100" t="s">
        <v>7</v>
      </c>
      <c r="Y35" s="100" t="s">
        <v>7</v>
      </c>
      <c r="Z35" s="107" t="s">
        <v>8</v>
      </c>
      <c r="AA35" s="100"/>
      <c r="AB35" s="104">
        <f t="shared" si="0"/>
        <v>2</v>
      </c>
    </row>
    <row r="36" spans="1:28" ht="27" x14ac:dyDescent="0.3">
      <c r="A36" s="86">
        <v>0.59027777777777779</v>
      </c>
      <c r="C36" s="154" t="s">
        <v>133</v>
      </c>
      <c r="E36" s="114"/>
      <c r="F36" s="112"/>
      <c r="G36" s="148" t="s">
        <v>136</v>
      </c>
      <c r="I36" s="183"/>
      <c r="J36" s="173"/>
      <c r="K36" s="187"/>
      <c r="L36" s="117"/>
      <c r="M36" s="87"/>
      <c r="N36" s="116"/>
      <c r="O36" s="112"/>
      <c r="P36" s="119"/>
      <c r="Q36" s="87"/>
      <c r="R36" s="116"/>
      <c r="S36" s="112"/>
      <c r="T36" s="91"/>
      <c r="U36" s="92"/>
      <c r="V36" s="100" t="s">
        <v>122</v>
      </c>
      <c r="W36" s="100" t="s">
        <v>245</v>
      </c>
      <c r="X36" s="100" t="s">
        <v>7</v>
      </c>
      <c r="Y36" s="100" t="s">
        <v>7</v>
      </c>
      <c r="Z36" s="107" t="s">
        <v>8</v>
      </c>
      <c r="AA36" s="100"/>
      <c r="AB36" s="104">
        <f t="shared" si="0"/>
        <v>3</v>
      </c>
    </row>
    <row r="37" spans="1:28" ht="27" x14ac:dyDescent="0.2">
      <c r="A37" s="86">
        <v>0.59722222222222221</v>
      </c>
      <c r="C37" s="90"/>
      <c r="E37" s="113"/>
      <c r="F37" s="111"/>
      <c r="H37" s="87"/>
      <c r="I37" s="182" t="s">
        <v>129</v>
      </c>
      <c r="J37" s="174" t="s">
        <v>117</v>
      </c>
      <c r="K37" s="187"/>
      <c r="L37" s="117"/>
      <c r="M37" s="87"/>
      <c r="N37" s="115"/>
      <c r="O37" s="111"/>
      <c r="P37" s="119"/>
      <c r="Q37" s="87"/>
      <c r="R37" s="115"/>
      <c r="S37" s="111"/>
      <c r="T37" s="91"/>
      <c r="U37" s="92"/>
      <c r="V37" s="100" t="s">
        <v>8</v>
      </c>
      <c r="W37" s="100" t="s">
        <v>245</v>
      </c>
      <c r="X37" s="100" t="s">
        <v>7</v>
      </c>
      <c r="Y37" s="100" t="s">
        <v>7</v>
      </c>
      <c r="Z37" s="107" t="s">
        <v>8</v>
      </c>
      <c r="AA37" s="100"/>
      <c r="AB37" s="104">
        <f t="shared" si="0"/>
        <v>2</v>
      </c>
    </row>
    <row r="38" spans="1:28" ht="27" x14ac:dyDescent="0.2">
      <c r="A38" s="86">
        <v>0.60416666666666663</v>
      </c>
      <c r="C38" s="94"/>
      <c r="E38" s="114"/>
      <c r="F38" s="112"/>
      <c r="G38" s="147" t="s">
        <v>141</v>
      </c>
      <c r="H38" s="87"/>
      <c r="I38" s="183"/>
      <c r="J38" s="175"/>
      <c r="K38" s="187"/>
      <c r="L38" s="117"/>
      <c r="M38" s="87"/>
      <c r="N38" s="116"/>
      <c r="O38" s="112"/>
      <c r="P38" s="119"/>
      <c r="Q38" s="87"/>
      <c r="R38" s="116"/>
      <c r="S38" s="112"/>
      <c r="T38" s="91"/>
      <c r="U38" s="92"/>
      <c r="V38" s="100" t="s">
        <v>125</v>
      </c>
      <c r="W38" s="100" t="s">
        <v>245</v>
      </c>
      <c r="X38" s="100" t="s">
        <v>7</v>
      </c>
      <c r="Y38" s="100" t="s">
        <v>7</v>
      </c>
      <c r="Z38" s="107" t="s">
        <v>8</v>
      </c>
      <c r="AA38" s="100"/>
      <c r="AB38" s="104">
        <f t="shared" si="0"/>
        <v>2</v>
      </c>
    </row>
    <row r="39" spans="1:28" ht="27" x14ac:dyDescent="0.3">
      <c r="A39" s="86">
        <v>0.61111111111111116</v>
      </c>
      <c r="C39" s="94"/>
      <c r="E39" s="115"/>
      <c r="F39" s="115"/>
      <c r="G39" s="148" t="s">
        <v>142</v>
      </c>
      <c r="H39" s="87"/>
      <c r="I39" s="190"/>
      <c r="J39" s="174" t="s">
        <v>126</v>
      </c>
      <c r="K39" s="187"/>
      <c r="L39" s="117"/>
      <c r="M39" s="87"/>
      <c r="N39" s="115"/>
      <c r="O39" s="111"/>
      <c r="P39" s="119"/>
      <c r="Q39" s="87"/>
      <c r="R39" s="115"/>
      <c r="S39" s="111"/>
      <c r="T39" s="91"/>
      <c r="U39" s="92"/>
      <c r="V39" s="100" t="s">
        <v>127</v>
      </c>
      <c r="W39" s="100" t="s">
        <v>245</v>
      </c>
      <c r="X39" s="100" t="s">
        <v>7</v>
      </c>
      <c r="Y39" s="100" t="s">
        <v>7</v>
      </c>
      <c r="Z39" s="107" t="s">
        <v>8</v>
      </c>
      <c r="AA39" s="100"/>
      <c r="AB39" s="104">
        <f t="shared" si="0"/>
        <v>2</v>
      </c>
    </row>
    <row r="40" spans="1:28" ht="27" x14ac:dyDescent="0.2">
      <c r="A40" s="86">
        <v>0.61805555555555558</v>
      </c>
      <c r="C40" s="94"/>
      <c r="E40" s="116"/>
      <c r="F40" s="116"/>
      <c r="H40" s="87"/>
      <c r="I40" s="191"/>
      <c r="J40" s="175"/>
      <c r="K40" s="187"/>
      <c r="L40" s="117"/>
      <c r="M40" s="87"/>
      <c r="N40" s="116"/>
      <c r="O40" s="112"/>
      <c r="P40" s="119"/>
      <c r="Q40" s="87"/>
      <c r="R40" s="116"/>
      <c r="S40" s="112"/>
      <c r="T40" s="91"/>
      <c r="U40" s="92"/>
      <c r="V40" s="100" t="s">
        <v>129</v>
      </c>
      <c r="W40" s="100" t="s">
        <v>245</v>
      </c>
      <c r="X40" s="100" t="s">
        <v>7</v>
      </c>
      <c r="Y40" s="100" t="s">
        <v>7</v>
      </c>
      <c r="Z40" s="107" t="s">
        <v>8</v>
      </c>
      <c r="AA40" s="100"/>
      <c r="AB40" s="104">
        <f t="shared" si="0"/>
        <v>2</v>
      </c>
    </row>
    <row r="41" spans="1:28" ht="27" x14ac:dyDescent="0.3">
      <c r="A41" s="86">
        <v>0.625</v>
      </c>
      <c r="C41" s="101"/>
      <c r="E41" s="108"/>
      <c r="F41" s="108"/>
      <c r="G41" s="148" t="s">
        <v>145</v>
      </c>
      <c r="H41" s="87"/>
      <c r="I41" s="182" t="s">
        <v>125</v>
      </c>
      <c r="K41" s="187"/>
      <c r="L41" s="117"/>
      <c r="M41" s="87"/>
      <c r="N41" s="108"/>
      <c r="O41" s="108"/>
      <c r="P41" s="119"/>
      <c r="Q41" s="87"/>
      <c r="R41" s="108"/>
      <c r="S41" s="108"/>
      <c r="T41" s="91"/>
      <c r="U41" s="92"/>
      <c r="V41" s="100" t="s">
        <v>131</v>
      </c>
      <c r="W41" s="100" t="s">
        <v>245</v>
      </c>
      <c r="X41" s="100" t="s">
        <v>7</v>
      </c>
      <c r="Y41" s="100" t="s">
        <v>7</v>
      </c>
      <c r="Z41" s="107" t="s">
        <v>8</v>
      </c>
      <c r="AA41" s="100"/>
      <c r="AB41" s="104">
        <f t="shared" si="0"/>
        <v>2</v>
      </c>
    </row>
    <row r="42" spans="1:28" ht="27" x14ac:dyDescent="0.3">
      <c r="A42" s="86">
        <v>0.63194444444444442</v>
      </c>
      <c r="C42" s="93"/>
      <c r="E42" s="115"/>
      <c r="F42" s="115"/>
      <c r="G42" s="105" t="s">
        <v>147</v>
      </c>
      <c r="H42" s="87"/>
      <c r="I42" s="183"/>
      <c r="K42" s="187"/>
      <c r="L42" s="117"/>
      <c r="M42" s="87"/>
      <c r="N42" s="115"/>
      <c r="O42" s="111"/>
      <c r="P42" s="119"/>
      <c r="Q42" s="87"/>
      <c r="R42" s="115"/>
      <c r="S42" s="111"/>
      <c r="T42" s="91"/>
      <c r="U42" s="92"/>
      <c r="V42" s="100" t="s">
        <v>133</v>
      </c>
      <c r="W42" s="100" t="s">
        <v>245</v>
      </c>
      <c r="X42" s="100" t="s">
        <v>7</v>
      </c>
      <c r="Y42" s="100" t="s">
        <v>7</v>
      </c>
      <c r="Z42" s="107" t="s">
        <v>8</v>
      </c>
      <c r="AA42" s="100"/>
      <c r="AB42" s="104">
        <f t="shared" si="0"/>
        <v>2</v>
      </c>
    </row>
    <row r="43" spans="1:28" ht="27" x14ac:dyDescent="0.3">
      <c r="A43" s="86">
        <v>0.63888888888888884</v>
      </c>
      <c r="B43" s="87"/>
      <c r="C43" s="87"/>
      <c r="E43" s="117"/>
      <c r="F43" s="117"/>
      <c r="G43" s="105" t="s">
        <v>149</v>
      </c>
      <c r="H43" s="102"/>
      <c r="I43" s="103"/>
      <c r="J43" s="92"/>
      <c r="K43" s="187"/>
      <c r="L43" s="117"/>
      <c r="M43" s="102"/>
      <c r="N43" s="117"/>
      <c r="O43" s="118"/>
      <c r="P43" s="119"/>
      <c r="Q43" s="102"/>
      <c r="R43" s="117"/>
      <c r="S43" s="118"/>
      <c r="T43" s="91"/>
      <c r="U43" s="92"/>
    </row>
    <row r="44" spans="1:28" ht="15" customHeight="1" x14ac:dyDescent="0.2">
      <c r="L44" s="97"/>
      <c r="AB44" s="104"/>
    </row>
  </sheetData>
  <mergeCells count="51">
    <mergeCell ref="V1:AB1"/>
    <mergeCell ref="E2:S2"/>
    <mergeCell ref="V2:AB3"/>
    <mergeCell ref="E6:E7"/>
    <mergeCell ref="E8:E9"/>
    <mergeCell ref="O6:O7"/>
    <mergeCell ref="O8:O9"/>
    <mergeCell ref="R6:R13"/>
    <mergeCell ref="N10:N11"/>
    <mergeCell ref="F6:F7"/>
    <mergeCell ref="F8:F9"/>
    <mergeCell ref="A1:S1"/>
    <mergeCell ref="E10:E11"/>
    <mergeCell ref="E12:E13"/>
    <mergeCell ref="N6:N7"/>
    <mergeCell ref="F10:F11"/>
    <mergeCell ref="I39:I40"/>
    <mergeCell ref="I35:I36"/>
    <mergeCell ref="I37:I38"/>
    <mergeCell ref="I41:I42"/>
    <mergeCell ref="F12:F13"/>
    <mergeCell ref="I32:I33"/>
    <mergeCell ref="E19:E20"/>
    <mergeCell ref="F23:F24"/>
    <mergeCell ref="E23:E24"/>
    <mergeCell ref="E15:E16"/>
    <mergeCell ref="E17:E18"/>
    <mergeCell ref="E21:E22"/>
    <mergeCell ref="F19:F20"/>
    <mergeCell ref="F15:F16"/>
    <mergeCell ref="N8:N9"/>
    <mergeCell ref="I30:I31"/>
    <mergeCell ref="I26:I27"/>
    <mergeCell ref="F17:F18"/>
    <mergeCell ref="F21:F22"/>
    <mergeCell ref="J39:J40"/>
    <mergeCell ref="N12:N13"/>
    <mergeCell ref="N15:N16"/>
    <mergeCell ref="N19:N20"/>
    <mergeCell ref="L30:L31"/>
    <mergeCell ref="J27:J29"/>
    <mergeCell ref="K35:K43"/>
    <mergeCell ref="J37:J38"/>
    <mergeCell ref="J30:J31"/>
    <mergeCell ref="O10:O11"/>
    <mergeCell ref="J32:J33"/>
    <mergeCell ref="J35:J36"/>
    <mergeCell ref="O15:O16"/>
    <mergeCell ref="O17:O18"/>
    <mergeCell ref="O12:O13"/>
    <mergeCell ref="O19:O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85BC-D12D-9944-9C90-81D2D79F9E99}">
  <dimension ref="B2:C2"/>
  <sheetViews>
    <sheetView workbookViewId="0">
      <selection activeCell="B3" sqref="B3"/>
    </sheetView>
  </sheetViews>
  <sheetFormatPr baseColWidth="10" defaultColWidth="11.5" defaultRowHeight="15" x14ac:dyDescent="0.2"/>
  <cols>
    <col min="2" max="2" width="13.83203125" customWidth="1"/>
    <col min="3" max="3" width="21.6640625" customWidth="1"/>
  </cols>
  <sheetData>
    <row r="2" spans="2:3" x14ac:dyDescent="0.2">
      <c r="B2" t="s">
        <v>251</v>
      </c>
      <c r="C2">
        <v>1500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B2CBC015342A4193F9D0B2765AAF7A" ma:contentTypeVersion="11" ma:contentTypeDescription="Create a new document." ma:contentTypeScope="" ma:versionID="b2cb97d7582316772ea47504fd08ee92">
  <xsd:schema xmlns:xsd="http://www.w3.org/2001/XMLSchema" xmlns:xs="http://www.w3.org/2001/XMLSchema" xmlns:p="http://schemas.microsoft.com/office/2006/metadata/properties" xmlns:ns2="fd22bc96-b541-4536-b89f-116191f951f7" xmlns:ns3="b41966bd-5efa-4d35-80b2-3d2b58f6a4f3" targetNamespace="http://schemas.microsoft.com/office/2006/metadata/properties" ma:root="true" ma:fieldsID="1c8c0ea92609f60af55030f56295cc69" ns2:_="" ns3:_="">
    <xsd:import namespace="fd22bc96-b541-4536-b89f-116191f951f7"/>
    <xsd:import namespace="b41966bd-5efa-4d35-80b2-3d2b58f6a4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2bc96-b541-4536-b89f-116191f951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bf785b-8fef-4b70-b2f9-38d45fd2cc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966bd-5efa-4d35-80b2-3d2b58f6a4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50f9510-81c8-4fa3-9fed-307bdac7bd86}" ma:internalName="TaxCatchAll" ma:showField="CatchAllData" ma:web="b41966bd-5efa-4d35-80b2-3d2b58f6a4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2bc96-b541-4536-b89f-116191f951f7">
      <Terms xmlns="http://schemas.microsoft.com/office/infopath/2007/PartnerControls"/>
    </lcf76f155ced4ddcb4097134ff3c332f>
    <TaxCatchAll xmlns="b41966bd-5efa-4d35-80b2-3d2b58f6a4f3" xsi:nil="true"/>
  </documentManagement>
</p:properties>
</file>

<file path=customXml/itemProps1.xml><?xml version="1.0" encoding="utf-8"?>
<ds:datastoreItem xmlns:ds="http://schemas.openxmlformats.org/officeDocument/2006/customXml" ds:itemID="{61BF617C-034E-44CD-A094-F08D76CFA5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03EE96-58E4-4768-BF0F-41E783D38D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22bc96-b541-4536-b89f-116191f951f7"/>
    <ds:schemaRef ds:uri="b41966bd-5efa-4d35-80b2-3d2b58f6a4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6F63F8-04A1-40C6-9A4D-F67C34092B31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b41966bd-5efa-4d35-80b2-3d2b58f6a4f3"/>
    <ds:schemaRef ds:uri="http://purl.org/dc/elements/1.1/"/>
    <ds:schemaRef ds:uri="fd22bc96-b541-4536-b89f-116191f951f7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a5a66368-d49e-4bf5-af9a-6ccbf48e6655}" enabled="0" method="" siteId="{a5a66368-d49e-4bf5-af9a-6ccbf48e665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ÅRSPLAN</vt:lpstr>
      <vt:lpstr>Kontaktlærergrupper</vt:lpstr>
      <vt:lpstr>Kurs-grupper</vt:lpstr>
      <vt:lpstr>Roadmaps</vt:lpstr>
      <vt:lpstr>Prosjektideer</vt:lpstr>
      <vt:lpstr>Vurderingssamtaler høst</vt:lpstr>
      <vt:lpstr>Økonomi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Sondre Stai</cp:lastModifiedBy>
  <cp:revision/>
  <dcterms:created xsi:type="dcterms:W3CDTF">2025-05-02T08:49:47Z</dcterms:created>
  <dcterms:modified xsi:type="dcterms:W3CDTF">2026-03-02T09:50:29Z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0x010100B6B2CBC015342A4193F9D0B2765AAF7A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